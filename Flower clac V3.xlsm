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rouillier\Desktop\"/>
    </mc:Choice>
  </mc:AlternateContent>
  <xr:revisionPtr revIDLastSave="0" documentId="8_{A848CF51-FBEF-4F09-A07E-7DF48E0A6A44}" xr6:coauthVersionLast="45" xr6:coauthVersionMax="45" xr10:uidLastSave="{00000000-0000-0000-0000-000000000000}"/>
  <bookViews>
    <workbookView xWindow="-120" yWindow="-120" windowWidth="29040" windowHeight="15840" xr2:uid="{18BC6362-9A32-40A3-9B73-5730CFFFBB02}"/>
  </bookViews>
  <sheets>
    <sheet name="Calculator" sheetId="3" r:id="rId1"/>
    <sheet name="Data" sheetId="2" state="hidden" r:id="rId2"/>
    <sheet name="Lists" sheetId="4" state="hidden" r:id="rId3"/>
  </sheets>
  <definedNames>
    <definedName name="Cosmos">Lists!$A$2:$A$28</definedName>
    <definedName name="Hyacinths">Lists!$B$2:$B$28</definedName>
    <definedName name="Lilies">Lists!$C$2:$C$28</definedName>
    <definedName name="Mums">Lists!$D$2:$D$28</definedName>
    <definedName name="Pansies">Lists!$E$2:$E$28</definedName>
    <definedName name="Roses">Lists!#REF!</definedName>
    <definedName name="Tulips">Lists!$F$2:$F$28</definedName>
    <definedName name="Windflowers">Lists!$G$2:$G$23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9" i="3" l="1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AM3" i="3"/>
  <c r="AL3" i="3"/>
  <c r="AI3" i="3"/>
  <c r="AH3" i="3"/>
  <c r="AE3" i="3"/>
  <c r="AD3" i="3"/>
  <c r="AA3" i="3"/>
  <c r="Z3" i="3"/>
  <c r="W3" i="3"/>
  <c r="V3" i="3"/>
  <c r="S3" i="3"/>
  <c r="R3" i="3"/>
  <c r="O3" i="3"/>
  <c r="N3" i="3"/>
  <c r="K3" i="3"/>
  <c r="J3" i="3"/>
  <c r="C109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5" i="2"/>
  <c r="Z86" i="2"/>
  <c r="Z87" i="2"/>
  <c r="Z88" i="2"/>
  <c r="Z90" i="2"/>
  <c r="Z91" i="2"/>
  <c r="Z92" i="2"/>
  <c r="Z93" i="2"/>
  <c r="Z94" i="2"/>
  <c r="Z95" i="2"/>
  <c r="Z96" i="2"/>
  <c r="Z97" i="2"/>
  <c r="Z98" i="2"/>
  <c r="Z99" i="2"/>
  <c r="Z100" i="2"/>
  <c r="Z101" i="2"/>
  <c r="Z103" i="2"/>
  <c r="Z104" i="2"/>
  <c r="Z105" i="2"/>
  <c r="Z106" i="2"/>
  <c r="Z107" i="2"/>
  <c r="Z108" i="2"/>
  <c r="Z109" i="2"/>
  <c r="Z110" i="2"/>
  <c r="Z112" i="2"/>
  <c r="Z113" i="2"/>
  <c r="Z114" i="2"/>
  <c r="Z115" i="2"/>
  <c r="Z117" i="2"/>
  <c r="Z118" i="2"/>
  <c r="Z119" i="2"/>
  <c r="Z120" i="2"/>
  <c r="Z121" i="2"/>
  <c r="Z122" i="2"/>
  <c r="Z123" i="2"/>
  <c r="Z124" i="2"/>
  <c r="Z125" i="2"/>
  <c r="Z126" i="2"/>
  <c r="Z127" i="2"/>
  <c r="Z129" i="2"/>
  <c r="Z130" i="2"/>
  <c r="Z131" i="2"/>
  <c r="Z132" i="2"/>
  <c r="Z133" i="2"/>
  <c r="Z134" i="2"/>
  <c r="Z135" i="2"/>
  <c r="Z136" i="2"/>
  <c r="Z137" i="2"/>
  <c r="Z139" i="2"/>
  <c r="Z140" i="2"/>
  <c r="Z141" i="2"/>
  <c r="Z142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7" i="2"/>
  <c r="Z158" i="2"/>
  <c r="Z159" i="2"/>
  <c r="Z160" i="2"/>
  <c r="Z161" i="2"/>
  <c r="Z162" i="2"/>
  <c r="Z163" i="2"/>
  <c r="Z164" i="2"/>
  <c r="Z166" i="2"/>
  <c r="Z167" i="2"/>
  <c r="Z168" i="2"/>
  <c r="Z169" i="2"/>
  <c r="Z171" i="2"/>
  <c r="Z172" i="2"/>
  <c r="Z173" i="2"/>
  <c r="Z174" i="2"/>
  <c r="Z175" i="2"/>
  <c r="Z176" i="2"/>
  <c r="Z177" i="2"/>
  <c r="Z178" i="2"/>
  <c r="Z179" i="2"/>
  <c r="Z180" i="2"/>
  <c r="Z181" i="2"/>
  <c r="Z183" i="2"/>
  <c r="Z184" i="2"/>
  <c r="Z185" i="2"/>
  <c r="Z186" i="2"/>
  <c r="Z187" i="2"/>
  <c r="Z188" i="2"/>
  <c r="Z189" i="2"/>
  <c r="Z190" i="2"/>
  <c r="H128" i="2"/>
  <c r="I128" i="2"/>
  <c r="J128" i="2"/>
  <c r="K128" i="2"/>
  <c r="H155" i="2"/>
  <c r="I155" i="2"/>
  <c r="J155" i="2"/>
  <c r="K155" i="2"/>
  <c r="H182" i="2"/>
  <c r="I182" i="2"/>
  <c r="J182" i="2"/>
  <c r="K182" i="2"/>
  <c r="E146" i="2"/>
  <c r="E147" i="2"/>
  <c r="E148" i="2"/>
  <c r="E149" i="2"/>
  <c r="E150" i="2"/>
  <c r="E151" i="2"/>
  <c r="E152" i="2"/>
  <c r="E153" i="2"/>
  <c r="E154" i="2"/>
  <c r="E155" i="2"/>
  <c r="F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F182" i="2"/>
  <c r="E183" i="2"/>
  <c r="E184" i="2"/>
  <c r="E185" i="2"/>
  <c r="E186" i="2"/>
  <c r="E187" i="2"/>
  <c r="E188" i="2"/>
  <c r="E189" i="2"/>
  <c r="E190" i="2"/>
  <c r="E137" i="2"/>
  <c r="E138" i="2"/>
  <c r="E139" i="2"/>
  <c r="E140" i="2"/>
  <c r="E141" i="2"/>
  <c r="E142" i="2"/>
  <c r="E143" i="2"/>
  <c r="E144" i="2"/>
  <c r="E145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F128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H101" i="2"/>
  <c r="I101" i="2"/>
  <c r="J101" i="2"/>
  <c r="K101" i="2"/>
  <c r="O101" i="2"/>
  <c r="U101" i="2"/>
  <c r="F101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E87" i="2"/>
  <c r="E86" i="2"/>
  <c r="E85" i="2"/>
  <c r="C84" i="2"/>
  <c r="E84" i="2"/>
  <c r="C83" i="2"/>
  <c r="E5" i="2"/>
  <c r="E13" i="2"/>
  <c r="E18" i="2"/>
  <c r="E19" i="2"/>
  <c r="E20" i="2"/>
  <c r="E21" i="2"/>
  <c r="E26" i="2"/>
  <c r="E27" i="2"/>
  <c r="E28" i="2"/>
  <c r="E29" i="2"/>
  <c r="E35" i="2"/>
  <c r="E36" i="2"/>
  <c r="E37" i="2"/>
  <c r="E38" i="2"/>
  <c r="E39" i="2"/>
  <c r="E40" i="2"/>
  <c r="E41" i="2"/>
  <c r="E42" i="2"/>
  <c r="E45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2" i="2"/>
  <c r="Y56" i="2"/>
  <c r="W78" i="2"/>
  <c r="J2" i="2"/>
  <c r="U20" i="4"/>
  <c r="T20" i="4"/>
  <c r="S20" i="4"/>
  <c r="U19" i="4"/>
  <c r="T19" i="4"/>
  <c r="S19" i="4"/>
  <c r="Q9" i="4"/>
  <c r="U16" i="4"/>
  <c r="T16" i="4"/>
  <c r="S16" i="4"/>
  <c r="R16" i="4"/>
  <c r="U15" i="4"/>
  <c r="T15" i="4"/>
  <c r="S15" i="4"/>
  <c r="R15" i="4"/>
  <c r="U14" i="4"/>
  <c r="T14" i="4"/>
  <c r="S14" i="4"/>
  <c r="R14" i="4"/>
  <c r="Q24" i="4"/>
  <c r="Q27" i="4"/>
  <c r="P27" i="4"/>
  <c r="Q26" i="4"/>
  <c r="P26" i="4"/>
  <c r="U29" i="4"/>
  <c r="T29" i="4"/>
  <c r="S29" i="4"/>
  <c r="R29" i="4"/>
  <c r="U28" i="4"/>
  <c r="T28" i="4"/>
  <c r="S28" i="4"/>
  <c r="R28" i="4"/>
  <c r="U27" i="4"/>
  <c r="T27" i="4"/>
  <c r="S27" i="4"/>
  <c r="R27" i="4"/>
  <c r="U26" i="4"/>
  <c r="T26" i="4"/>
  <c r="S26" i="4"/>
  <c r="R26" i="4"/>
  <c r="U25" i="4"/>
  <c r="T25" i="4"/>
  <c r="S25" i="4"/>
  <c r="R25" i="4"/>
  <c r="U24" i="4"/>
  <c r="T24" i="4"/>
  <c r="S24" i="4"/>
  <c r="R24" i="4"/>
  <c r="U23" i="4"/>
  <c r="T23" i="4"/>
  <c r="S23" i="4"/>
  <c r="R23" i="4"/>
  <c r="U22" i="4"/>
  <c r="T22" i="4"/>
  <c r="S22" i="4"/>
  <c r="R22" i="4"/>
  <c r="AC29" i="4"/>
  <c r="AB29" i="4"/>
  <c r="AA29" i="4"/>
  <c r="Z29" i="4"/>
  <c r="Y29" i="4"/>
  <c r="X29" i="4"/>
  <c r="W29" i="4"/>
  <c r="V29" i="4"/>
  <c r="AC28" i="4"/>
  <c r="AB28" i="4"/>
  <c r="AA28" i="4"/>
  <c r="Z28" i="4"/>
  <c r="Y28" i="4"/>
  <c r="X28" i="4"/>
  <c r="W28" i="4"/>
  <c r="V28" i="4"/>
  <c r="AC27" i="4"/>
  <c r="AB27" i="4"/>
  <c r="AA27" i="4"/>
  <c r="Z27" i="4"/>
  <c r="Y27" i="4"/>
  <c r="X27" i="4"/>
  <c r="W27" i="4"/>
  <c r="V27" i="4"/>
  <c r="AC26" i="4"/>
  <c r="AB26" i="4"/>
  <c r="AA26" i="4"/>
  <c r="Z26" i="4"/>
  <c r="Y26" i="4"/>
  <c r="X26" i="4"/>
  <c r="W26" i="4"/>
  <c r="V26" i="4"/>
  <c r="AC25" i="4"/>
  <c r="AB25" i="4"/>
  <c r="AA25" i="4"/>
  <c r="Z25" i="4"/>
  <c r="Y25" i="4"/>
  <c r="X25" i="4"/>
  <c r="W25" i="4"/>
  <c r="V25" i="4"/>
  <c r="AC24" i="4"/>
  <c r="AB24" i="4"/>
  <c r="AA24" i="4"/>
  <c r="Z24" i="4"/>
  <c r="Y24" i="4"/>
  <c r="X24" i="4"/>
  <c r="W24" i="4"/>
  <c r="V24" i="4"/>
  <c r="AC23" i="4"/>
  <c r="AB23" i="4"/>
  <c r="AA23" i="4"/>
  <c r="Z23" i="4"/>
  <c r="Y23" i="4"/>
  <c r="X23" i="4"/>
  <c r="W23" i="4"/>
  <c r="V23" i="4"/>
  <c r="AC22" i="4"/>
  <c r="AB22" i="4"/>
  <c r="AA22" i="4"/>
  <c r="Z22" i="4"/>
  <c r="Y22" i="4"/>
  <c r="X22" i="4"/>
  <c r="W22" i="4"/>
  <c r="V22" i="4"/>
  <c r="AC21" i="4"/>
  <c r="AB21" i="4"/>
  <c r="AA21" i="4"/>
  <c r="Z21" i="4"/>
  <c r="Y21" i="4"/>
  <c r="X21" i="4"/>
  <c r="W21" i="4"/>
  <c r="V21" i="4"/>
  <c r="AC20" i="4"/>
  <c r="AB20" i="4"/>
  <c r="AA20" i="4"/>
  <c r="Z20" i="4"/>
  <c r="Y20" i="4"/>
  <c r="X20" i="4"/>
  <c r="W20" i="4"/>
  <c r="V20" i="4"/>
  <c r="AC19" i="4"/>
  <c r="AB19" i="4"/>
  <c r="AA19" i="4"/>
  <c r="Z19" i="4"/>
  <c r="Y19" i="4"/>
  <c r="X19" i="4"/>
  <c r="W19" i="4"/>
  <c r="V19" i="4"/>
  <c r="AC18" i="4"/>
  <c r="AB18" i="4"/>
  <c r="AA18" i="4"/>
  <c r="Z18" i="4"/>
  <c r="Y18" i="4"/>
  <c r="X18" i="4"/>
  <c r="W18" i="4"/>
  <c r="V18" i="4"/>
  <c r="AC17" i="4"/>
  <c r="AB17" i="4"/>
  <c r="AA17" i="4"/>
  <c r="Z17" i="4"/>
  <c r="Y17" i="4"/>
  <c r="X17" i="4"/>
  <c r="W17" i="4"/>
  <c r="V17" i="4"/>
  <c r="AC16" i="4"/>
  <c r="AB16" i="4"/>
  <c r="AA16" i="4"/>
  <c r="Z16" i="4"/>
  <c r="Y16" i="4"/>
  <c r="X16" i="4"/>
  <c r="W16" i="4"/>
  <c r="V16" i="4"/>
  <c r="AC15" i="4"/>
  <c r="AB15" i="4"/>
  <c r="AA15" i="4"/>
  <c r="Z15" i="4"/>
  <c r="Y15" i="4"/>
  <c r="X15" i="4"/>
  <c r="W15" i="4"/>
  <c r="V15" i="4"/>
  <c r="AC14" i="4"/>
  <c r="AB14" i="4"/>
  <c r="AA14" i="4"/>
  <c r="Z14" i="4"/>
  <c r="Y14" i="4"/>
  <c r="X14" i="4"/>
  <c r="W14" i="4"/>
  <c r="V14" i="4"/>
  <c r="AC13" i="4"/>
  <c r="AB13" i="4"/>
  <c r="AA13" i="4"/>
  <c r="Z13" i="4"/>
  <c r="Y13" i="4"/>
  <c r="X13" i="4"/>
  <c r="W13" i="4"/>
  <c r="V13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C7" i="4"/>
  <c r="AB7" i="4"/>
  <c r="AA7" i="4"/>
  <c r="Z7" i="4"/>
  <c r="Y7" i="4"/>
  <c r="X7" i="4"/>
  <c r="W7" i="4"/>
  <c r="V7" i="4"/>
  <c r="AC6" i="4"/>
  <c r="AB6" i="4"/>
  <c r="AA6" i="4"/>
  <c r="Z6" i="4"/>
  <c r="Y6" i="4"/>
  <c r="X6" i="4"/>
  <c r="W6" i="4"/>
  <c r="V6" i="4"/>
  <c r="AC9" i="4"/>
  <c r="AB9" i="4"/>
  <c r="AA9" i="4"/>
  <c r="Z9" i="4"/>
  <c r="Y9" i="4"/>
  <c r="X9" i="4"/>
  <c r="W9" i="4"/>
  <c r="V9" i="4"/>
  <c r="U9" i="4"/>
  <c r="T9" i="4"/>
  <c r="S9" i="4"/>
  <c r="R9" i="4"/>
  <c r="AC8" i="4"/>
  <c r="AB8" i="4"/>
  <c r="AA8" i="4"/>
  <c r="Z8" i="4"/>
  <c r="Y8" i="4"/>
  <c r="X8" i="4"/>
  <c r="W8" i="4"/>
  <c r="V8" i="4"/>
  <c r="U8" i="4"/>
  <c r="T8" i="4"/>
  <c r="S8" i="4"/>
  <c r="R8" i="4"/>
  <c r="AC4" i="4"/>
  <c r="AB4" i="4"/>
  <c r="AA4" i="4"/>
  <c r="Z4" i="4"/>
  <c r="Y4" i="4"/>
  <c r="X4" i="4"/>
  <c r="W4" i="4"/>
  <c r="V4" i="4"/>
  <c r="U4" i="4"/>
  <c r="T4" i="4"/>
  <c r="S4" i="4"/>
  <c r="AC3" i="4"/>
  <c r="AB3" i="4"/>
  <c r="AA3" i="4"/>
  <c r="Z3" i="4"/>
  <c r="Y3" i="4"/>
  <c r="X3" i="4"/>
  <c r="W3" i="4"/>
  <c r="V3" i="4"/>
  <c r="U3" i="4"/>
  <c r="T3" i="4"/>
  <c r="S3" i="4"/>
  <c r="AC2" i="4"/>
  <c r="AB2" i="4"/>
  <c r="AA2" i="4"/>
  <c r="W182" i="2" s="1"/>
  <c r="Z2" i="4"/>
  <c r="Y2" i="4"/>
  <c r="X2" i="4"/>
  <c r="W2" i="4"/>
  <c r="V2" i="4"/>
  <c r="R56" i="2" s="1"/>
  <c r="U2" i="4"/>
  <c r="T2" i="4"/>
  <c r="S2" i="4"/>
  <c r="O56" i="2" s="1"/>
  <c r="R2" i="4"/>
  <c r="N101" i="2" s="1"/>
  <c r="Q2" i="4"/>
  <c r="AO10" i="4"/>
  <c r="J78" i="2"/>
  <c r="M78" i="2"/>
  <c r="F56" i="2"/>
  <c r="H56" i="2"/>
  <c r="I56" i="2"/>
  <c r="J56" i="2"/>
  <c r="K56" i="2"/>
  <c r="M56" i="2"/>
  <c r="N56" i="2"/>
  <c r="Q56" i="2"/>
  <c r="J23" i="4"/>
  <c r="J22" i="4"/>
  <c r="J21" i="4"/>
  <c r="J12" i="4"/>
  <c r="J11" i="4"/>
  <c r="J10" i="4"/>
  <c r="J9" i="4"/>
  <c r="J4" i="4"/>
  <c r="O52" i="2" s="1"/>
  <c r="J3" i="4"/>
  <c r="V168" i="2" s="1"/>
  <c r="D47" i="2"/>
  <c r="E47" i="2" s="1"/>
  <c r="D46" i="2"/>
  <c r="E46" i="2" s="1"/>
  <c r="D45" i="2"/>
  <c r="D44" i="2"/>
  <c r="E44" i="2" s="1"/>
  <c r="D43" i="2"/>
  <c r="E43" i="2" s="1"/>
  <c r="D31" i="2"/>
  <c r="E31" i="2" s="1"/>
  <c r="D30" i="2"/>
  <c r="E30" i="2" s="1"/>
  <c r="D23" i="2"/>
  <c r="E23" i="2" s="1"/>
  <c r="D22" i="2"/>
  <c r="E22" i="2" s="1"/>
  <c r="D21" i="2"/>
  <c r="D12" i="2"/>
  <c r="E12" i="2" s="1"/>
  <c r="D11" i="2"/>
  <c r="E11" i="2" s="1"/>
  <c r="D10" i="2"/>
  <c r="E10" i="2" s="1"/>
  <c r="D9" i="2"/>
  <c r="E9" i="2" s="1"/>
  <c r="D4" i="2"/>
  <c r="R4" i="2" s="1"/>
  <c r="D3" i="2"/>
  <c r="X3" i="2" s="1"/>
  <c r="K51" i="2"/>
  <c r="L51" i="2"/>
  <c r="M51" i="2"/>
  <c r="N51" i="2"/>
  <c r="N52" i="2"/>
  <c r="D34" i="2"/>
  <c r="E34" i="2" s="1"/>
  <c r="D33" i="2"/>
  <c r="E33" i="2" s="1"/>
  <c r="D32" i="2"/>
  <c r="T32" i="2" s="1"/>
  <c r="D24" i="2"/>
  <c r="E24" i="2" s="1"/>
  <c r="D15" i="2"/>
  <c r="E15" i="2" s="1"/>
  <c r="D14" i="2"/>
  <c r="E14" i="2" s="1"/>
  <c r="D8" i="2"/>
  <c r="E8" i="2" s="1"/>
  <c r="D7" i="2"/>
  <c r="E7" i="2" s="1"/>
  <c r="D6" i="2"/>
  <c r="E6" i="2" s="1"/>
  <c r="D25" i="2"/>
  <c r="E25" i="2" s="1"/>
  <c r="D17" i="2"/>
  <c r="Y17" i="2" s="1"/>
  <c r="D16" i="2"/>
  <c r="E16" i="2" s="1"/>
  <c r="D13" i="2"/>
  <c r="D5" i="2"/>
  <c r="J24" i="4"/>
  <c r="J15" i="4"/>
  <c r="J14" i="4"/>
  <c r="J8" i="4"/>
  <c r="J7" i="4"/>
  <c r="L54" i="2" s="1"/>
  <c r="J6" i="4"/>
  <c r="J25" i="4"/>
  <c r="J17" i="4"/>
  <c r="J16" i="4"/>
  <c r="J13" i="4"/>
  <c r="J5" i="4"/>
  <c r="P24" i="4"/>
  <c r="R20" i="4"/>
  <c r="R19" i="4"/>
  <c r="P9" i="4"/>
  <c r="R3" i="4"/>
  <c r="R4" i="4"/>
  <c r="P2" i="4"/>
  <c r="F9" i="2"/>
  <c r="E4" i="2" l="1"/>
  <c r="E3" i="2"/>
  <c r="E17" i="2"/>
  <c r="E32" i="2"/>
  <c r="Y29" i="2"/>
  <c r="F95" i="2"/>
  <c r="Q107" i="2"/>
  <c r="H104" i="2"/>
  <c r="S99" i="2"/>
  <c r="Q95" i="2"/>
  <c r="X88" i="2"/>
  <c r="F127" i="2"/>
  <c r="P128" i="2"/>
  <c r="P182" i="2"/>
  <c r="P155" i="2"/>
  <c r="P101" i="2"/>
  <c r="P56" i="2"/>
  <c r="S63" i="2"/>
  <c r="M76" i="2"/>
  <c r="F72" i="2"/>
  <c r="I67" i="2"/>
  <c r="F59" i="2"/>
  <c r="K82" i="2"/>
  <c r="R75" i="2"/>
  <c r="T58" i="2"/>
  <c r="I55" i="2"/>
  <c r="W10" i="2"/>
  <c r="O75" i="2"/>
  <c r="Q71" i="2"/>
  <c r="I71" i="2"/>
  <c r="K70" i="2"/>
  <c r="I68" i="2"/>
  <c r="H67" i="2"/>
  <c r="Q65" i="2"/>
  <c r="M64" i="2"/>
  <c r="K63" i="2"/>
  <c r="F62" i="2"/>
  <c r="M60" i="2"/>
  <c r="Q58" i="2"/>
  <c r="K57" i="2"/>
  <c r="I78" i="2"/>
  <c r="O83" i="2"/>
  <c r="J82" i="2"/>
  <c r="P80" i="2"/>
  <c r="J79" i="2"/>
  <c r="S35" i="2"/>
  <c r="T26" i="2"/>
  <c r="U82" i="2"/>
  <c r="V78" i="2"/>
  <c r="S74" i="2"/>
  <c r="U70" i="2"/>
  <c r="T66" i="2"/>
  <c r="X61" i="2"/>
  <c r="U57" i="2"/>
  <c r="W52" i="2"/>
  <c r="X42" i="2"/>
  <c r="S37" i="2"/>
  <c r="Y28" i="2"/>
  <c r="W109" i="2"/>
  <c r="I107" i="2"/>
  <c r="Y103" i="2"/>
  <c r="K99" i="2"/>
  <c r="H95" i="2"/>
  <c r="J87" i="2"/>
  <c r="V180" i="2"/>
  <c r="M55" i="2"/>
  <c r="R30" i="2"/>
  <c r="I75" i="2"/>
  <c r="M70" i="2"/>
  <c r="P64" i="2"/>
  <c r="J59" i="2"/>
  <c r="H77" i="2"/>
  <c r="X128" i="2"/>
  <c r="X182" i="2"/>
  <c r="X155" i="2"/>
  <c r="X101" i="2"/>
  <c r="X2" i="2"/>
  <c r="U75" i="2"/>
  <c r="S49" i="2"/>
  <c r="Q104" i="2"/>
  <c r="M96" i="2"/>
  <c r="Y25" i="2"/>
  <c r="H75" i="2"/>
  <c r="L70" i="2"/>
  <c r="H62" i="2"/>
  <c r="X52" i="2"/>
  <c r="V34" i="2"/>
  <c r="J52" i="2"/>
  <c r="L76" i="2"/>
  <c r="J74" i="2"/>
  <c r="K69" i="2"/>
  <c r="L128" i="2"/>
  <c r="L155" i="2"/>
  <c r="L182" i="2"/>
  <c r="L101" i="2"/>
  <c r="L56" i="2"/>
  <c r="T7" i="2"/>
  <c r="F42" i="2"/>
  <c r="H55" i="2"/>
  <c r="I54" i="2"/>
  <c r="H53" i="2"/>
  <c r="I52" i="2"/>
  <c r="J51" i="2"/>
  <c r="X11" i="2"/>
  <c r="W44" i="2"/>
  <c r="K76" i="2"/>
  <c r="N75" i="2"/>
  <c r="Q74" i="2"/>
  <c r="I74" i="2"/>
  <c r="L73" i="2"/>
  <c r="M72" i="2"/>
  <c r="P71" i="2"/>
  <c r="H71" i="2"/>
  <c r="J70" i="2"/>
  <c r="J69" i="2"/>
  <c r="H68" i="2"/>
  <c r="F67" i="2"/>
  <c r="M65" i="2"/>
  <c r="J64" i="2"/>
  <c r="I63" i="2"/>
  <c r="O61" i="2"/>
  <c r="J60" i="2"/>
  <c r="N58" i="2"/>
  <c r="H57" i="2"/>
  <c r="Q77" i="2"/>
  <c r="L83" i="2"/>
  <c r="F82" i="2"/>
  <c r="M80" i="2"/>
  <c r="F79" i="2"/>
  <c r="S155" i="2"/>
  <c r="S128" i="2"/>
  <c r="S182" i="2"/>
  <c r="S101" i="2"/>
  <c r="S56" i="2"/>
  <c r="O59" i="2"/>
  <c r="Q57" i="2"/>
  <c r="S2" i="2"/>
  <c r="W29" i="2"/>
  <c r="R24" i="2"/>
  <c r="X81" i="2"/>
  <c r="X77" i="2"/>
  <c r="R74" i="2"/>
  <c r="V69" i="2"/>
  <c r="X65" i="2"/>
  <c r="W61" i="2"/>
  <c r="X56" i="2"/>
  <c r="T52" i="2"/>
  <c r="T42" i="2"/>
  <c r="Y80" i="2"/>
  <c r="V109" i="2"/>
  <c r="M106" i="2"/>
  <c r="Q103" i="2"/>
  <c r="S98" i="2"/>
  <c r="L94" i="2"/>
  <c r="O86" i="2"/>
  <c r="J189" i="2"/>
  <c r="H179" i="2"/>
  <c r="M53" i="2"/>
  <c r="Q76" i="2"/>
  <c r="L74" i="2"/>
  <c r="F73" i="2"/>
  <c r="K68" i="2"/>
  <c r="M63" i="2"/>
  <c r="O79" i="2"/>
  <c r="W12" i="2"/>
  <c r="T83" i="2"/>
  <c r="T67" i="2"/>
  <c r="U38" i="2"/>
  <c r="Y99" i="2"/>
  <c r="J55" i="2"/>
  <c r="Y9" i="2"/>
  <c r="P75" i="2"/>
  <c r="J71" i="2"/>
  <c r="F66" i="2"/>
  <c r="K79" i="2"/>
  <c r="S83" i="2"/>
  <c r="U66" i="2"/>
  <c r="W62" i="2"/>
  <c r="J41" i="2"/>
  <c r="J54" i="2"/>
  <c r="V43" i="2"/>
  <c r="O72" i="2"/>
  <c r="Q55" i="2"/>
  <c r="H54" i="2"/>
  <c r="F53" i="2"/>
  <c r="H52" i="2"/>
  <c r="I51" i="2"/>
  <c r="R12" i="2"/>
  <c r="X45" i="2"/>
  <c r="J76" i="2"/>
  <c r="M75" i="2"/>
  <c r="P74" i="2"/>
  <c r="H74" i="2"/>
  <c r="K73" i="2"/>
  <c r="L72" i="2"/>
  <c r="O71" i="2"/>
  <c r="F71" i="2"/>
  <c r="H70" i="2"/>
  <c r="I69" i="2"/>
  <c r="F68" i="2"/>
  <c r="O66" i="2"/>
  <c r="K65" i="2"/>
  <c r="I64" i="2"/>
  <c r="H63" i="2"/>
  <c r="N61" i="2"/>
  <c r="I60" i="2"/>
  <c r="M58" i="2"/>
  <c r="F57" i="2"/>
  <c r="P77" i="2"/>
  <c r="K83" i="2"/>
  <c r="Q81" i="2"/>
  <c r="L80" i="2"/>
  <c r="T128" i="2"/>
  <c r="T155" i="2"/>
  <c r="T182" i="2"/>
  <c r="T101" i="2"/>
  <c r="L79" i="2"/>
  <c r="P76" i="2"/>
  <c r="P67" i="2"/>
  <c r="P65" i="2"/>
  <c r="P68" i="2"/>
  <c r="T2" i="2"/>
  <c r="R29" i="2"/>
  <c r="V20" i="2"/>
  <c r="U81" i="2"/>
  <c r="T77" i="2"/>
  <c r="T73" i="2"/>
  <c r="U69" i="2"/>
  <c r="R65" i="2"/>
  <c r="T61" i="2"/>
  <c r="T56" i="2"/>
  <c r="T51" i="2"/>
  <c r="X41" i="2"/>
  <c r="Y79" i="2"/>
  <c r="N109" i="2"/>
  <c r="L106" i="2"/>
  <c r="U102" i="2"/>
  <c r="R98" i="2"/>
  <c r="O93" i="2"/>
  <c r="M85" i="2"/>
  <c r="S184" i="2"/>
  <c r="M176" i="2"/>
  <c r="O73" i="2"/>
  <c r="K71" i="2"/>
  <c r="J67" i="2"/>
  <c r="K62" i="2"/>
  <c r="O57" i="2"/>
  <c r="I81" i="2"/>
  <c r="V27" i="2"/>
  <c r="R71" i="2"/>
  <c r="Y48" i="2"/>
  <c r="P9" i="2"/>
  <c r="K54" i="2"/>
  <c r="S31" i="2"/>
  <c r="K74" i="2"/>
  <c r="N69" i="2"/>
  <c r="L63" i="2"/>
  <c r="L57" i="2"/>
  <c r="Q80" i="2"/>
  <c r="T35" i="2"/>
  <c r="X70" i="2"/>
  <c r="T48" i="2"/>
  <c r="S6" i="2"/>
  <c r="K53" i="2"/>
  <c r="M73" i="2"/>
  <c r="U8" i="2"/>
  <c r="R5" i="2"/>
  <c r="P55" i="2"/>
  <c r="Q54" i="2"/>
  <c r="P53" i="2"/>
  <c r="Q52" i="2"/>
  <c r="F52" i="2"/>
  <c r="I50" i="2"/>
  <c r="R21" i="2"/>
  <c r="R46" i="2"/>
  <c r="I76" i="2"/>
  <c r="L75" i="2"/>
  <c r="O74" i="2"/>
  <c r="F74" i="2"/>
  <c r="J73" i="2"/>
  <c r="K72" i="2"/>
  <c r="N71" i="2"/>
  <c r="Q70" i="2"/>
  <c r="F70" i="2"/>
  <c r="H69" i="2"/>
  <c r="Q67" i="2"/>
  <c r="N66" i="2"/>
  <c r="J65" i="2"/>
  <c r="H64" i="2"/>
  <c r="P62" i="2"/>
  <c r="K61" i="2"/>
  <c r="Q59" i="2"/>
  <c r="J58" i="2"/>
  <c r="M77" i="2"/>
  <c r="H83" i="2"/>
  <c r="N81" i="2"/>
  <c r="I80" i="2"/>
  <c r="W2" i="2"/>
  <c r="X28" i="2"/>
  <c r="W19" i="2"/>
  <c r="R81" i="2"/>
  <c r="X76" i="2"/>
  <c r="W72" i="2"/>
  <c r="W68" i="2"/>
  <c r="X64" i="2"/>
  <c r="U60" i="2"/>
  <c r="X55" i="2"/>
  <c r="S51" i="2"/>
  <c r="W40" i="2"/>
  <c r="Y71" i="2"/>
  <c r="W108" i="2"/>
  <c r="V105" i="2"/>
  <c r="T102" i="2"/>
  <c r="Y100" i="2"/>
  <c r="Y97" i="2"/>
  <c r="N93" i="2"/>
  <c r="I171" i="2"/>
  <c r="Q75" i="2"/>
  <c r="H72" i="2"/>
  <c r="J66" i="2"/>
  <c r="Q60" i="2"/>
  <c r="N82" i="2"/>
  <c r="V79" i="2"/>
  <c r="X53" i="2"/>
  <c r="R107" i="2"/>
  <c r="Y89" i="2"/>
  <c r="Y33" i="2"/>
  <c r="L53" i="2"/>
  <c r="Q72" i="2"/>
  <c r="J68" i="2"/>
  <c r="N60" i="2"/>
  <c r="P83" i="2"/>
  <c r="X26" i="2"/>
  <c r="T38" i="2"/>
  <c r="F75" i="2"/>
  <c r="F55" i="2"/>
  <c r="S14" i="2"/>
  <c r="R13" i="2"/>
  <c r="T15" i="2"/>
  <c r="O55" i="2"/>
  <c r="P54" i="2"/>
  <c r="O53" i="2"/>
  <c r="P52" i="2"/>
  <c r="Q51" i="2"/>
  <c r="K49" i="2"/>
  <c r="R22" i="2"/>
  <c r="R47" i="2"/>
  <c r="H76" i="2"/>
  <c r="K75" i="2"/>
  <c r="N74" i="2"/>
  <c r="Q73" i="2"/>
  <c r="I73" i="2"/>
  <c r="J72" i="2"/>
  <c r="M71" i="2"/>
  <c r="P70" i="2"/>
  <c r="Q69" i="2"/>
  <c r="F69" i="2"/>
  <c r="L67" i="2"/>
  <c r="M66" i="2"/>
  <c r="F65" i="2"/>
  <c r="Q63" i="2"/>
  <c r="O62" i="2"/>
  <c r="J61" i="2"/>
  <c r="P59" i="2"/>
  <c r="I58" i="2"/>
  <c r="Q78" i="2"/>
  <c r="L77" i="2"/>
  <c r="F83" i="2"/>
  <c r="M81" i="2"/>
  <c r="H80" i="2"/>
  <c r="U18" i="2"/>
  <c r="T28" i="2"/>
  <c r="V19" i="2"/>
  <c r="S80" i="2"/>
  <c r="U76" i="2"/>
  <c r="T72" i="2"/>
  <c r="S68" i="2"/>
  <c r="S64" i="2"/>
  <c r="T60" i="2"/>
  <c r="X54" i="2"/>
  <c r="T50" i="2"/>
  <c r="V40" i="2"/>
  <c r="Y62" i="2"/>
  <c r="Q108" i="2"/>
  <c r="M105" i="2"/>
  <c r="L102" i="2"/>
  <c r="X100" i="2"/>
  <c r="X96" i="2"/>
  <c r="P92" i="2"/>
  <c r="O69" i="2"/>
  <c r="N70" i="2"/>
  <c r="U58" i="2"/>
  <c r="K52" i="2"/>
  <c r="N73" i="2"/>
  <c r="N64" i="2"/>
  <c r="U16" i="2"/>
  <c r="T24" i="2"/>
  <c r="N55" i="2"/>
  <c r="M54" i="2"/>
  <c r="N53" i="2"/>
  <c r="S23" i="2"/>
  <c r="H110" i="2"/>
  <c r="P110" i="2"/>
  <c r="X110" i="2"/>
  <c r="N111" i="2"/>
  <c r="V111" i="2"/>
  <c r="L112" i="2"/>
  <c r="T112" i="2"/>
  <c r="J113" i="2"/>
  <c r="R113" i="2"/>
  <c r="H114" i="2"/>
  <c r="P114" i="2"/>
  <c r="X114" i="2"/>
  <c r="N115" i="2"/>
  <c r="V115" i="2"/>
  <c r="L116" i="2"/>
  <c r="T116" i="2"/>
  <c r="J117" i="2"/>
  <c r="R117" i="2"/>
  <c r="H118" i="2"/>
  <c r="P118" i="2"/>
  <c r="X118" i="2"/>
  <c r="N119" i="2"/>
  <c r="V119" i="2"/>
  <c r="L120" i="2"/>
  <c r="T120" i="2"/>
  <c r="J121" i="2"/>
  <c r="R121" i="2"/>
  <c r="H122" i="2"/>
  <c r="P122" i="2"/>
  <c r="X122" i="2"/>
  <c r="N123" i="2"/>
  <c r="V123" i="2"/>
  <c r="L124" i="2"/>
  <c r="T124" i="2"/>
  <c r="J125" i="2"/>
  <c r="R125" i="2"/>
  <c r="H126" i="2"/>
  <c r="P126" i="2"/>
  <c r="X126" i="2"/>
  <c r="N127" i="2"/>
  <c r="V127" i="2"/>
  <c r="J129" i="2"/>
  <c r="R129" i="2"/>
  <c r="H130" i="2"/>
  <c r="P130" i="2"/>
  <c r="X130" i="2"/>
  <c r="N131" i="2"/>
  <c r="V131" i="2"/>
  <c r="L132" i="2"/>
  <c r="T132" i="2"/>
  <c r="J133" i="2"/>
  <c r="R133" i="2"/>
  <c r="H134" i="2"/>
  <c r="P134" i="2"/>
  <c r="X134" i="2"/>
  <c r="N135" i="2"/>
  <c r="V135" i="2"/>
  <c r="L136" i="2"/>
  <c r="T136" i="2"/>
  <c r="J137" i="2"/>
  <c r="R137" i="2"/>
  <c r="H138" i="2"/>
  <c r="P138" i="2"/>
  <c r="X138" i="2"/>
  <c r="N139" i="2"/>
  <c r="V139" i="2"/>
  <c r="L140" i="2"/>
  <c r="T140" i="2"/>
  <c r="J141" i="2"/>
  <c r="R141" i="2"/>
  <c r="H142" i="2"/>
  <c r="P142" i="2"/>
  <c r="X142" i="2"/>
  <c r="N143" i="2"/>
  <c r="V143" i="2"/>
  <c r="L144" i="2"/>
  <c r="T144" i="2"/>
  <c r="J145" i="2"/>
  <c r="R145" i="2"/>
  <c r="H146" i="2"/>
  <c r="I110" i="2"/>
  <c r="Q110" i="2"/>
  <c r="Y110" i="2"/>
  <c r="O111" i="2"/>
  <c r="W111" i="2"/>
  <c r="M112" i="2"/>
  <c r="U112" i="2"/>
  <c r="K113" i="2"/>
  <c r="S113" i="2"/>
  <c r="I114" i="2"/>
  <c r="Q114" i="2"/>
  <c r="Y114" i="2"/>
  <c r="O115" i="2"/>
  <c r="W115" i="2"/>
  <c r="M116" i="2"/>
  <c r="U116" i="2"/>
  <c r="K117" i="2"/>
  <c r="S117" i="2"/>
  <c r="I118" i="2"/>
  <c r="Q118" i="2"/>
  <c r="Y118" i="2"/>
  <c r="O119" i="2"/>
  <c r="W119" i="2"/>
  <c r="M120" i="2"/>
  <c r="U120" i="2"/>
  <c r="K121" i="2"/>
  <c r="S121" i="2"/>
  <c r="I122" i="2"/>
  <c r="Q122" i="2"/>
  <c r="Y122" i="2"/>
  <c r="O123" i="2"/>
  <c r="W123" i="2"/>
  <c r="M124" i="2"/>
  <c r="U124" i="2"/>
  <c r="K125" i="2"/>
  <c r="S125" i="2"/>
  <c r="I126" i="2"/>
  <c r="Q126" i="2"/>
  <c r="Y126" i="2"/>
  <c r="O127" i="2"/>
  <c r="W127" i="2"/>
  <c r="K129" i="2"/>
  <c r="S129" i="2"/>
  <c r="I130" i="2"/>
  <c r="Q130" i="2"/>
  <c r="Y130" i="2"/>
  <c r="O131" i="2"/>
  <c r="W131" i="2"/>
  <c r="M132" i="2"/>
  <c r="U132" i="2"/>
  <c r="K133" i="2"/>
  <c r="S133" i="2"/>
  <c r="I134" i="2"/>
  <c r="E2" i="3" s="1"/>
  <c r="Q134" i="2"/>
  <c r="Y134" i="2"/>
  <c r="O135" i="2"/>
  <c r="W135" i="2"/>
  <c r="M136" i="2"/>
  <c r="U136" i="2"/>
  <c r="K137" i="2"/>
  <c r="S137" i="2"/>
  <c r="I138" i="2"/>
  <c r="Q138" i="2"/>
  <c r="Y138" i="2"/>
  <c r="O139" i="2"/>
  <c r="W139" i="2"/>
  <c r="M140" i="2"/>
  <c r="U140" i="2"/>
  <c r="K141" i="2"/>
  <c r="S141" i="2"/>
  <c r="I142" i="2"/>
  <c r="Q142" i="2"/>
  <c r="Y142" i="2"/>
  <c r="O143" i="2"/>
  <c r="W143" i="2"/>
  <c r="M144" i="2"/>
  <c r="U144" i="2"/>
  <c r="K145" i="2"/>
  <c r="S145" i="2"/>
  <c r="I146" i="2"/>
  <c r="Q146" i="2"/>
  <c r="Y146" i="2"/>
  <c r="O147" i="2"/>
  <c r="J110" i="2"/>
  <c r="R110" i="2"/>
  <c r="H111" i="2"/>
  <c r="P111" i="2"/>
  <c r="X111" i="2"/>
  <c r="N112" i="2"/>
  <c r="V112" i="2"/>
  <c r="L113" i="2"/>
  <c r="T113" i="2"/>
  <c r="J114" i="2"/>
  <c r="R114" i="2"/>
  <c r="H115" i="2"/>
  <c r="P115" i="2"/>
  <c r="X115" i="2"/>
  <c r="N116" i="2"/>
  <c r="V116" i="2"/>
  <c r="L117" i="2"/>
  <c r="T117" i="2"/>
  <c r="J118" i="2"/>
  <c r="R118" i="2"/>
  <c r="H119" i="2"/>
  <c r="P119" i="2"/>
  <c r="X119" i="2"/>
  <c r="N120" i="2"/>
  <c r="V120" i="2"/>
  <c r="L121" i="2"/>
  <c r="T121" i="2"/>
  <c r="J122" i="2"/>
  <c r="R122" i="2"/>
  <c r="H123" i="2"/>
  <c r="P123" i="2"/>
  <c r="X123" i="2"/>
  <c r="N124" i="2"/>
  <c r="V124" i="2"/>
  <c r="L125" i="2"/>
  <c r="T125" i="2"/>
  <c r="J126" i="2"/>
  <c r="R126" i="2"/>
  <c r="H127" i="2"/>
  <c r="P127" i="2"/>
  <c r="X127" i="2"/>
  <c r="L129" i="2"/>
  <c r="T129" i="2"/>
  <c r="J130" i="2"/>
  <c r="R130" i="2"/>
  <c r="H131" i="2"/>
  <c r="P131" i="2"/>
  <c r="X131" i="2"/>
  <c r="N132" i="2"/>
  <c r="V132" i="2"/>
  <c r="L133" i="2"/>
  <c r="T133" i="2"/>
  <c r="J134" i="2"/>
  <c r="R134" i="2"/>
  <c r="H135" i="2"/>
  <c r="P135" i="2"/>
  <c r="X135" i="2"/>
  <c r="N136" i="2"/>
  <c r="V136" i="2"/>
  <c r="L137" i="2"/>
  <c r="T137" i="2"/>
  <c r="J138" i="2"/>
  <c r="R138" i="2"/>
  <c r="H139" i="2"/>
  <c r="P139" i="2"/>
  <c r="X139" i="2"/>
  <c r="N140" i="2"/>
  <c r="V140" i="2"/>
  <c r="L141" i="2"/>
  <c r="T141" i="2"/>
  <c r="J142" i="2"/>
  <c r="R142" i="2"/>
  <c r="H143" i="2"/>
  <c r="P143" i="2"/>
  <c r="X143" i="2"/>
  <c r="N144" i="2"/>
  <c r="V144" i="2"/>
  <c r="L145" i="2"/>
  <c r="T145" i="2"/>
  <c r="J146" i="2"/>
  <c r="R146" i="2"/>
  <c r="H147" i="2"/>
  <c r="P147" i="2"/>
  <c r="K110" i="2"/>
  <c r="S110" i="2"/>
  <c r="I111" i="2"/>
  <c r="Q111" i="2"/>
  <c r="Y111" i="2"/>
  <c r="L110" i="2"/>
  <c r="T110" i="2"/>
  <c r="J111" i="2"/>
  <c r="R111" i="2"/>
  <c r="H112" i="2"/>
  <c r="P112" i="2"/>
  <c r="X112" i="2"/>
  <c r="N113" i="2"/>
  <c r="V113" i="2"/>
  <c r="L114" i="2"/>
  <c r="T114" i="2"/>
  <c r="J115" i="2"/>
  <c r="R115" i="2"/>
  <c r="H116" i="2"/>
  <c r="P116" i="2"/>
  <c r="X116" i="2"/>
  <c r="N117" i="2"/>
  <c r="V117" i="2"/>
  <c r="L118" i="2"/>
  <c r="T118" i="2"/>
  <c r="J119" i="2"/>
  <c r="R119" i="2"/>
  <c r="H120" i="2"/>
  <c r="P120" i="2"/>
  <c r="X120" i="2"/>
  <c r="N121" i="2"/>
  <c r="V121" i="2"/>
  <c r="L122" i="2"/>
  <c r="T122" i="2"/>
  <c r="J123" i="2"/>
  <c r="R123" i="2"/>
  <c r="H124" i="2"/>
  <c r="P124" i="2"/>
  <c r="X124" i="2"/>
  <c r="N125" i="2"/>
  <c r="V125" i="2"/>
  <c r="L126" i="2"/>
  <c r="T126" i="2"/>
  <c r="J127" i="2"/>
  <c r="R127" i="2"/>
  <c r="N129" i="2"/>
  <c r="V129" i="2"/>
  <c r="L130" i="2"/>
  <c r="T130" i="2"/>
  <c r="J131" i="2"/>
  <c r="R131" i="2"/>
  <c r="H132" i="2"/>
  <c r="P132" i="2"/>
  <c r="X132" i="2"/>
  <c r="N133" i="2"/>
  <c r="V133" i="2"/>
  <c r="L134" i="2"/>
  <c r="T134" i="2"/>
  <c r="J135" i="2"/>
  <c r="R135" i="2"/>
  <c r="H136" i="2"/>
  <c r="P136" i="2"/>
  <c r="X136" i="2"/>
  <c r="N137" i="2"/>
  <c r="V137" i="2"/>
  <c r="L138" i="2"/>
  <c r="T138" i="2"/>
  <c r="J139" i="2"/>
  <c r="R139" i="2"/>
  <c r="H140" i="2"/>
  <c r="P140" i="2"/>
  <c r="X140" i="2"/>
  <c r="N141" i="2"/>
  <c r="V141" i="2"/>
  <c r="L142" i="2"/>
  <c r="T142" i="2"/>
  <c r="J143" i="2"/>
  <c r="R143" i="2"/>
  <c r="H144" i="2"/>
  <c r="P144" i="2"/>
  <c r="X144" i="2"/>
  <c r="N145" i="2"/>
  <c r="V145" i="2"/>
  <c r="L146" i="2"/>
  <c r="T146" i="2"/>
  <c r="J147" i="2"/>
  <c r="R147" i="2"/>
  <c r="M110" i="2"/>
  <c r="U110" i="2"/>
  <c r="K111" i="2"/>
  <c r="S111" i="2"/>
  <c r="I112" i="2"/>
  <c r="Q112" i="2"/>
  <c r="Y112" i="2"/>
  <c r="O113" i="2"/>
  <c r="W113" i="2"/>
  <c r="M114" i="2"/>
  <c r="U114" i="2"/>
  <c r="K115" i="2"/>
  <c r="S115" i="2"/>
  <c r="I116" i="2"/>
  <c r="Q116" i="2"/>
  <c r="Y116" i="2"/>
  <c r="O117" i="2"/>
  <c r="W117" i="2"/>
  <c r="M118" i="2"/>
  <c r="U118" i="2"/>
  <c r="K119" i="2"/>
  <c r="S119" i="2"/>
  <c r="I120" i="2"/>
  <c r="Q120" i="2"/>
  <c r="Y120" i="2"/>
  <c r="O121" i="2"/>
  <c r="W121" i="2"/>
  <c r="M122" i="2"/>
  <c r="U122" i="2"/>
  <c r="K123" i="2"/>
  <c r="S123" i="2"/>
  <c r="I124" i="2"/>
  <c r="N110" i="2"/>
  <c r="J112" i="2"/>
  <c r="M113" i="2"/>
  <c r="O114" i="2"/>
  <c r="T115" i="2"/>
  <c r="W116" i="2"/>
  <c r="Y117" i="2"/>
  <c r="L119" i="2"/>
  <c r="O120" i="2"/>
  <c r="Q121" i="2"/>
  <c r="V122" i="2"/>
  <c r="Y123" i="2"/>
  <c r="Y124" i="2"/>
  <c r="W125" i="2"/>
  <c r="U126" i="2"/>
  <c r="S127" i="2"/>
  <c r="M129" i="2"/>
  <c r="K130" i="2"/>
  <c r="I131" i="2"/>
  <c r="Y131" i="2"/>
  <c r="W132" i="2"/>
  <c r="U133" i="2"/>
  <c r="S134" i="2"/>
  <c r="Q135" i="2"/>
  <c r="O136" i="2"/>
  <c r="M137" i="2"/>
  <c r="K138" i="2"/>
  <c r="I139" i="2"/>
  <c r="Y139" i="2"/>
  <c r="W140" i="2"/>
  <c r="U141" i="2"/>
  <c r="S142" i="2"/>
  <c r="Q143" i="2"/>
  <c r="O144" i="2"/>
  <c r="M145" i="2"/>
  <c r="K146" i="2"/>
  <c r="W146" i="2"/>
  <c r="S147" i="2"/>
  <c r="I148" i="2"/>
  <c r="Q148" i="2"/>
  <c r="Y148" i="2"/>
  <c r="O149" i="2"/>
  <c r="W149" i="2"/>
  <c r="M150" i="2"/>
  <c r="U150" i="2"/>
  <c r="K151" i="2"/>
  <c r="S151" i="2"/>
  <c r="I152" i="2"/>
  <c r="Q152" i="2"/>
  <c r="Y152" i="2"/>
  <c r="O153" i="2"/>
  <c r="W153" i="2"/>
  <c r="M154" i="2"/>
  <c r="U154" i="2"/>
  <c r="I156" i="2"/>
  <c r="Q156" i="2"/>
  <c r="Y156" i="2"/>
  <c r="O157" i="2"/>
  <c r="W157" i="2"/>
  <c r="M158" i="2"/>
  <c r="U158" i="2"/>
  <c r="K159" i="2"/>
  <c r="S159" i="2"/>
  <c r="I160" i="2"/>
  <c r="Q160" i="2"/>
  <c r="O110" i="2"/>
  <c r="K112" i="2"/>
  <c r="P113" i="2"/>
  <c r="S114" i="2"/>
  <c r="U115" i="2"/>
  <c r="H117" i="2"/>
  <c r="K118" i="2"/>
  <c r="M119" i="2"/>
  <c r="R120" i="2"/>
  <c r="U121" i="2"/>
  <c r="W122" i="2"/>
  <c r="J124" i="2"/>
  <c r="H125" i="2"/>
  <c r="X125" i="2"/>
  <c r="V126" i="2"/>
  <c r="T127" i="2"/>
  <c r="O129" i="2"/>
  <c r="M130" i="2"/>
  <c r="K131" i="2"/>
  <c r="I132" i="2"/>
  <c r="Y132" i="2"/>
  <c r="W133" i="2"/>
  <c r="U134" i="2"/>
  <c r="S135" i="2"/>
  <c r="Q136" i="2"/>
  <c r="O137" i="2"/>
  <c r="M138" i="2"/>
  <c r="K139" i="2"/>
  <c r="I140" i="2"/>
  <c r="Y140" i="2"/>
  <c r="W141" i="2"/>
  <c r="U142" i="2"/>
  <c r="S143" i="2"/>
  <c r="Q144" i="2"/>
  <c r="O145" i="2"/>
  <c r="M146" i="2"/>
  <c r="X146" i="2"/>
  <c r="T147" i="2"/>
  <c r="J148" i="2"/>
  <c r="R148" i="2"/>
  <c r="H149" i="2"/>
  <c r="P149" i="2"/>
  <c r="X149" i="2"/>
  <c r="N150" i="2"/>
  <c r="V150" i="2"/>
  <c r="L151" i="2"/>
  <c r="T151" i="2"/>
  <c r="J152" i="2"/>
  <c r="R152" i="2"/>
  <c r="H153" i="2"/>
  <c r="P153" i="2"/>
  <c r="X153" i="2"/>
  <c r="N154" i="2"/>
  <c r="V154" i="2"/>
  <c r="J156" i="2"/>
  <c r="R156" i="2"/>
  <c r="H157" i="2"/>
  <c r="P157" i="2"/>
  <c r="X157" i="2"/>
  <c r="N158" i="2"/>
  <c r="V158" i="2"/>
  <c r="L159" i="2"/>
  <c r="T159" i="2"/>
  <c r="J160" i="2"/>
  <c r="R160" i="2"/>
  <c r="V110" i="2"/>
  <c r="O112" i="2"/>
  <c r="Q113" i="2"/>
  <c r="V114" i="2"/>
  <c r="Y115" i="2"/>
  <c r="I117" i="2"/>
  <c r="N118" i="2"/>
  <c r="Q119" i="2"/>
  <c r="S120" i="2"/>
  <c r="X121" i="2"/>
  <c r="I123" i="2"/>
  <c r="K124" i="2"/>
  <c r="I125" i="2"/>
  <c r="Y125" i="2"/>
  <c r="W126" i="2"/>
  <c r="U127" i="2"/>
  <c r="P129" i="2"/>
  <c r="N130" i="2"/>
  <c r="L131" i="2"/>
  <c r="J132" i="2"/>
  <c r="H133" i="2"/>
  <c r="X133" i="2"/>
  <c r="V134" i="2"/>
  <c r="T135" i="2"/>
  <c r="R136" i="2"/>
  <c r="P137" i="2"/>
  <c r="N138" i="2"/>
  <c r="L139" i="2"/>
  <c r="J140" i="2"/>
  <c r="H141" i="2"/>
  <c r="X141" i="2"/>
  <c r="V142" i="2"/>
  <c r="T143" i="2"/>
  <c r="R144" i="2"/>
  <c r="P145" i="2"/>
  <c r="N146" i="2"/>
  <c r="I147" i="2"/>
  <c r="U147" i="2"/>
  <c r="K148" i="2"/>
  <c r="S148" i="2"/>
  <c r="I149" i="2"/>
  <c r="Q149" i="2"/>
  <c r="Y149" i="2"/>
  <c r="O150" i="2"/>
  <c r="W150" i="2"/>
  <c r="M151" i="2"/>
  <c r="U151" i="2"/>
  <c r="K152" i="2"/>
  <c r="S152" i="2"/>
  <c r="I153" i="2"/>
  <c r="Q153" i="2"/>
  <c r="Y153" i="2"/>
  <c r="O154" i="2"/>
  <c r="W154" i="2"/>
  <c r="K156" i="2"/>
  <c r="S156" i="2"/>
  <c r="I157" i="2"/>
  <c r="Q157" i="2"/>
  <c r="Y157" i="2"/>
  <c r="O158" i="2"/>
  <c r="W158" i="2"/>
  <c r="M159" i="2"/>
  <c r="U159" i="2"/>
  <c r="K160" i="2"/>
  <c r="S160" i="2"/>
  <c r="I161" i="2"/>
  <c r="Q161" i="2"/>
  <c r="Y161" i="2"/>
  <c r="O162" i="2"/>
  <c r="W162" i="2"/>
  <c r="M163" i="2"/>
  <c r="U163" i="2"/>
  <c r="K164" i="2"/>
  <c r="S164" i="2"/>
  <c r="I165" i="2"/>
  <c r="Q165" i="2"/>
  <c r="Y165" i="2"/>
  <c r="O166" i="2"/>
  <c r="W166" i="2"/>
  <c r="M167" i="2"/>
  <c r="U167" i="2"/>
  <c r="K168" i="2"/>
  <c r="W110" i="2"/>
  <c r="R112" i="2"/>
  <c r="U113" i="2"/>
  <c r="W114" i="2"/>
  <c r="J116" i="2"/>
  <c r="M117" i="2"/>
  <c r="O118" i="2"/>
  <c r="T119" i="2"/>
  <c r="W120" i="2"/>
  <c r="Y121" i="2"/>
  <c r="L123" i="2"/>
  <c r="O124" i="2"/>
  <c r="M125" i="2"/>
  <c r="K126" i="2"/>
  <c r="I127" i="2"/>
  <c r="Y127" i="2"/>
  <c r="Q129" i="2"/>
  <c r="O130" i="2"/>
  <c r="M131" i="2"/>
  <c r="K132" i="2"/>
  <c r="I133" i="2"/>
  <c r="Y133" i="2"/>
  <c r="W134" i="2"/>
  <c r="U135" i="2"/>
  <c r="S136" i="2"/>
  <c r="Q137" i="2"/>
  <c r="O138" i="2"/>
  <c r="M139" i="2"/>
  <c r="K140" i="2"/>
  <c r="I141" i="2"/>
  <c r="Y141" i="2"/>
  <c r="W142" i="2"/>
  <c r="U143" i="2"/>
  <c r="S144" i="2"/>
  <c r="Q145" i="2"/>
  <c r="O146" i="2"/>
  <c r="K147" i="2"/>
  <c r="V147" i="2"/>
  <c r="L148" i="2"/>
  <c r="T148" i="2"/>
  <c r="J149" i="2"/>
  <c r="R149" i="2"/>
  <c r="H150" i="2"/>
  <c r="P150" i="2"/>
  <c r="X150" i="2"/>
  <c r="N151" i="2"/>
  <c r="V151" i="2"/>
  <c r="L152" i="2"/>
  <c r="T152" i="2"/>
  <c r="J153" i="2"/>
  <c r="R153" i="2"/>
  <c r="H154" i="2"/>
  <c r="P154" i="2"/>
  <c r="X154" i="2"/>
  <c r="L111" i="2"/>
  <c r="S112" i="2"/>
  <c r="X113" i="2"/>
  <c r="I115" i="2"/>
  <c r="K116" i="2"/>
  <c r="P117" i="2"/>
  <c r="S118" i="2"/>
  <c r="U119" i="2"/>
  <c r="H121" i="2"/>
  <c r="K122" i="2"/>
  <c r="M123" i="2"/>
  <c r="Q124" i="2"/>
  <c r="O125" i="2"/>
  <c r="M126" i="2"/>
  <c r="K127" i="2"/>
  <c r="U129" i="2"/>
  <c r="S130" i="2"/>
  <c r="Q131" i="2"/>
  <c r="O132" i="2"/>
  <c r="M133" i="2"/>
  <c r="K134" i="2"/>
  <c r="I135" i="2"/>
  <c r="Y135" i="2"/>
  <c r="W136" i="2"/>
  <c r="U137" i="2"/>
  <c r="S138" i="2"/>
  <c r="Q139" i="2"/>
  <c r="O140" i="2"/>
  <c r="M141" i="2"/>
  <c r="K142" i="2"/>
  <c r="I143" i="2"/>
  <c r="Y143" i="2"/>
  <c r="W144" i="2"/>
  <c r="T111" i="2"/>
  <c r="H113" i="2"/>
  <c r="K114" i="2"/>
  <c r="M115" i="2"/>
  <c r="R116" i="2"/>
  <c r="U117" i="2"/>
  <c r="W118" i="2"/>
  <c r="J120" i="2"/>
  <c r="M121" i="2"/>
  <c r="O122" i="2"/>
  <c r="T123" i="2"/>
  <c r="S124" i="2"/>
  <c r="Q125" i="2"/>
  <c r="O126" i="2"/>
  <c r="M127" i="2"/>
  <c r="H129" i="2"/>
  <c r="X129" i="2"/>
  <c r="V130" i="2"/>
  <c r="T131" i="2"/>
  <c r="R132" i="2"/>
  <c r="P133" i="2"/>
  <c r="N134" i="2"/>
  <c r="L135" i="2"/>
  <c r="J136" i="2"/>
  <c r="H137" i="2"/>
  <c r="X137" i="2"/>
  <c r="V138" i="2"/>
  <c r="T139" i="2"/>
  <c r="R140" i="2"/>
  <c r="P141" i="2"/>
  <c r="N142" i="2"/>
  <c r="L143" i="2"/>
  <c r="J144" i="2"/>
  <c r="H145" i="2"/>
  <c r="X145" i="2"/>
  <c r="U146" i="2"/>
  <c r="N147" i="2"/>
  <c r="Y147" i="2"/>
  <c r="O148" i="2"/>
  <c r="W148" i="2"/>
  <c r="M149" i="2"/>
  <c r="U149" i="2"/>
  <c r="K150" i="2"/>
  <c r="S150" i="2"/>
  <c r="I151" i="2"/>
  <c r="Q151" i="2"/>
  <c r="Y151" i="2"/>
  <c r="O152" i="2"/>
  <c r="W152" i="2"/>
  <c r="M153" i="2"/>
  <c r="U153" i="2"/>
  <c r="K154" i="2"/>
  <c r="S154" i="2"/>
  <c r="O156" i="2"/>
  <c r="W156" i="2"/>
  <c r="M157" i="2"/>
  <c r="U157" i="2"/>
  <c r="K158" i="2"/>
  <c r="S158" i="2"/>
  <c r="I159" i="2"/>
  <c r="Q159" i="2"/>
  <c r="Y159" i="2"/>
  <c r="O160" i="2"/>
  <c r="M111" i="2"/>
  <c r="O116" i="2"/>
  <c r="I121" i="2"/>
  <c r="P125" i="2"/>
  <c r="S131" i="2"/>
  <c r="K135" i="2"/>
  <c r="U138" i="2"/>
  <c r="M142" i="2"/>
  <c r="U145" i="2"/>
  <c r="Q147" i="2"/>
  <c r="V148" i="2"/>
  <c r="I150" i="2"/>
  <c r="J151" i="2"/>
  <c r="N152" i="2"/>
  <c r="S153" i="2"/>
  <c r="T154" i="2"/>
  <c r="P156" i="2"/>
  <c r="N157" i="2"/>
  <c r="L158" i="2"/>
  <c r="J159" i="2"/>
  <c r="H160" i="2"/>
  <c r="W160" i="2"/>
  <c r="N161" i="2"/>
  <c r="W161" i="2"/>
  <c r="N162" i="2"/>
  <c r="X162" i="2"/>
  <c r="O163" i="2"/>
  <c r="X163" i="2"/>
  <c r="O164" i="2"/>
  <c r="X164" i="2"/>
  <c r="O165" i="2"/>
  <c r="X165" i="2"/>
  <c r="P166" i="2"/>
  <c r="Y166" i="2"/>
  <c r="P167" i="2"/>
  <c r="Y167" i="2"/>
  <c r="P168" i="2"/>
  <c r="X168" i="2"/>
  <c r="N169" i="2"/>
  <c r="V169" i="2"/>
  <c r="L170" i="2"/>
  <c r="T170" i="2"/>
  <c r="J171" i="2"/>
  <c r="R171" i="2"/>
  <c r="H172" i="2"/>
  <c r="P172" i="2"/>
  <c r="X172" i="2"/>
  <c r="N173" i="2"/>
  <c r="V173" i="2"/>
  <c r="L174" i="2"/>
  <c r="T174" i="2"/>
  <c r="J175" i="2"/>
  <c r="R175" i="2"/>
  <c r="H176" i="2"/>
  <c r="P176" i="2"/>
  <c r="X176" i="2"/>
  <c r="N177" i="2"/>
  <c r="V177" i="2"/>
  <c r="L178" i="2"/>
  <c r="T178" i="2"/>
  <c r="J179" i="2"/>
  <c r="R179" i="2"/>
  <c r="H180" i="2"/>
  <c r="P180" i="2"/>
  <c r="X180" i="2"/>
  <c r="N181" i="2"/>
  <c r="V181" i="2"/>
  <c r="J183" i="2"/>
  <c r="R183" i="2"/>
  <c r="H184" i="2"/>
  <c r="P184" i="2"/>
  <c r="X184" i="2"/>
  <c r="N185" i="2"/>
  <c r="V185" i="2"/>
  <c r="L186" i="2"/>
  <c r="T186" i="2"/>
  <c r="J187" i="2"/>
  <c r="R187" i="2"/>
  <c r="H188" i="2"/>
  <c r="P188" i="2"/>
  <c r="X188" i="2"/>
  <c r="N189" i="2"/>
  <c r="U111" i="2"/>
  <c r="S116" i="2"/>
  <c r="P121" i="2"/>
  <c r="U125" i="2"/>
  <c r="U131" i="2"/>
  <c r="M135" i="2"/>
  <c r="W138" i="2"/>
  <c r="O142" i="2"/>
  <c r="W145" i="2"/>
  <c r="W147" i="2"/>
  <c r="X148" i="2"/>
  <c r="J150" i="2"/>
  <c r="O151" i="2"/>
  <c r="P152" i="2"/>
  <c r="T153" i="2"/>
  <c r="Y154" i="2"/>
  <c r="T156" i="2"/>
  <c r="R157" i="2"/>
  <c r="P158" i="2"/>
  <c r="N159" i="2"/>
  <c r="L160" i="2"/>
  <c r="X160" i="2"/>
  <c r="O161" i="2"/>
  <c r="X161" i="2"/>
  <c r="P162" i="2"/>
  <c r="Y162" i="2"/>
  <c r="P163" i="2"/>
  <c r="Y163" i="2"/>
  <c r="P164" i="2"/>
  <c r="Y164" i="2"/>
  <c r="P165" i="2"/>
  <c r="H166" i="2"/>
  <c r="Q166" i="2"/>
  <c r="H167" i="2"/>
  <c r="Q167" i="2"/>
  <c r="H168" i="2"/>
  <c r="Q168" i="2"/>
  <c r="Y168" i="2"/>
  <c r="O169" i="2"/>
  <c r="W169" i="2"/>
  <c r="M170" i="2"/>
  <c r="U170" i="2"/>
  <c r="K171" i="2"/>
  <c r="S171" i="2"/>
  <c r="I172" i="2"/>
  <c r="Q172" i="2"/>
  <c r="Y172" i="2"/>
  <c r="O173" i="2"/>
  <c r="W173" i="2"/>
  <c r="M174" i="2"/>
  <c r="U174" i="2"/>
  <c r="K175" i="2"/>
  <c r="S175" i="2"/>
  <c r="I176" i="2"/>
  <c r="Q176" i="2"/>
  <c r="Y176" i="2"/>
  <c r="O177" i="2"/>
  <c r="W177" i="2"/>
  <c r="M178" i="2"/>
  <c r="U178" i="2"/>
  <c r="K179" i="2"/>
  <c r="S179" i="2"/>
  <c r="I180" i="2"/>
  <c r="Q180" i="2"/>
  <c r="Y180" i="2"/>
  <c r="O181" i="2"/>
  <c r="W181" i="2"/>
  <c r="K183" i="2"/>
  <c r="S183" i="2"/>
  <c r="I184" i="2"/>
  <c r="Q184" i="2"/>
  <c r="Y184" i="2"/>
  <c r="O185" i="2"/>
  <c r="W185" i="2"/>
  <c r="M186" i="2"/>
  <c r="U186" i="2"/>
  <c r="K187" i="2"/>
  <c r="S187" i="2"/>
  <c r="I188" i="2"/>
  <c r="Q188" i="2"/>
  <c r="Y188" i="2"/>
  <c r="O189" i="2"/>
  <c r="W189" i="2"/>
  <c r="M190" i="2"/>
  <c r="U190" i="2"/>
  <c r="F147" i="2"/>
  <c r="F151" i="2"/>
  <c r="F159" i="2"/>
  <c r="W112" i="2"/>
  <c r="Q117" i="2"/>
  <c r="N122" i="2"/>
  <c r="N126" i="2"/>
  <c r="Q132" i="2"/>
  <c r="I136" i="2"/>
  <c r="S139" i="2"/>
  <c r="K143" i="2"/>
  <c r="Y145" i="2"/>
  <c r="X147" i="2"/>
  <c r="K149" i="2"/>
  <c r="L150" i="2"/>
  <c r="P151" i="2"/>
  <c r="U152" i="2"/>
  <c r="V153" i="2"/>
  <c r="U156" i="2"/>
  <c r="S157" i="2"/>
  <c r="Q158" i="2"/>
  <c r="O159" i="2"/>
  <c r="M160" i="2"/>
  <c r="Y160" i="2"/>
  <c r="P161" i="2"/>
  <c r="H162" i="2"/>
  <c r="Q162" i="2"/>
  <c r="H163" i="2"/>
  <c r="Q163" i="2"/>
  <c r="H164" i="2"/>
  <c r="Q164" i="2"/>
  <c r="H165" i="2"/>
  <c r="R165" i="2"/>
  <c r="I166" i="2"/>
  <c r="R166" i="2"/>
  <c r="I167" i="2"/>
  <c r="R167" i="2"/>
  <c r="I168" i="2"/>
  <c r="R168" i="2"/>
  <c r="H169" i="2"/>
  <c r="P169" i="2"/>
  <c r="X169" i="2"/>
  <c r="N170" i="2"/>
  <c r="V170" i="2"/>
  <c r="L171" i="2"/>
  <c r="T171" i="2"/>
  <c r="J172" i="2"/>
  <c r="R172" i="2"/>
  <c r="H173" i="2"/>
  <c r="P173" i="2"/>
  <c r="X173" i="2"/>
  <c r="N174" i="2"/>
  <c r="V174" i="2"/>
  <c r="L175" i="2"/>
  <c r="T175" i="2"/>
  <c r="J176" i="2"/>
  <c r="R176" i="2"/>
  <c r="H177" i="2"/>
  <c r="P177" i="2"/>
  <c r="X177" i="2"/>
  <c r="N178" i="2"/>
  <c r="V178" i="2"/>
  <c r="L179" i="2"/>
  <c r="T179" i="2"/>
  <c r="J180" i="2"/>
  <c r="R180" i="2"/>
  <c r="H181" i="2"/>
  <c r="P181" i="2"/>
  <c r="X181" i="2"/>
  <c r="L183" i="2"/>
  <c r="T183" i="2"/>
  <c r="J184" i="2"/>
  <c r="R184" i="2"/>
  <c r="H185" i="2"/>
  <c r="P185" i="2"/>
  <c r="X185" i="2"/>
  <c r="N186" i="2"/>
  <c r="V186" i="2"/>
  <c r="L187" i="2"/>
  <c r="T187" i="2"/>
  <c r="J188" i="2"/>
  <c r="R188" i="2"/>
  <c r="H189" i="2"/>
  <c r="P189" i="2"/>
  <c r="X189" i="2"/>
  <c r="N190" i="2"/>
  <c r="V190" i="2"/>
  <c r="I113" i="2"/>
  <c r="X117" i="2"/>
  <c r="S122" i="2"/>
  <c r="S126" i="2"/>
  <c r="I129" i="2"/>
  <c r="S132" i="2"/>
  <c r="K136" i="2"/>
  <c r="U139" i="2"/>
  <c r="M143" i="2"/>
  <c r="P146" i="2"/>
  <c r="H148" i="2"/>
  <c r="L149" i="2"/>
  <c r="Q150" i="2"/>
  <c r="R151" i="2"/>
  <c r="Y113" i="2"/>
  <c r="V118" i="2"/>
  <c r="Q123" i="2"/>
  <c r="L127" i="2"/>
  <c r="W129" i="2"/>
  <c r="O133" i="2"/>
  <c r="Y136" i="2"/>
  <c r="Q140" i="2"/>
  <c r="I144" i="2"/>
  <c r="S146" i="2"/>
  <c r="M148" i="2"/>
  <c r="N149" i="2"/>
  <c r="R150" i="2"/>
  <c r="W151" i="2"/>
  <c r="X152" i="2"/>
  <c r="J154" i="2"/>
  <c r="H156" i="2"/>
  <c r="X156" i="2"/>
  <c r="V157" i="2"/>
  <c r="T158" i="2"/>
  <c r="R159" i="2"/>
  <c r="P160" i="2"/>
  <c r="J161" i="2"/>
  <c r="S161" i="2"/>
  <c r="J162" i="2"/>
  <c r="S162" i="2"/>
  <c r="J163" i="2"/>
  <c r="S163" i="2"/>
  <c r="J164" i="2"/>
  <c r="T164" i="2"/>
  <c r="K165" i="2"/>
  <c r="T165" i="2"/>
  <c r="K166" i="2"/>
  <c r="T166" i="2"/>
  <c r="K167" i="2"/>
  <c r="T167" i="2"/>
  <c r="L168" i="2"/>
  <c r="T168" i="2"/>
  <c r="J169" i="2"/>
  <c r="R169" i="2"/>
  <c r="H170" i="2"/>
  <c r="P170" i="2"/>
  <c r="X170" i="2"/>
  <c r="N171" i="2"/>
  <c r="V171" i="2"/>
  <c r="L172" i="2"/>
  <c r="T172" i="2"/>
  <c r="J173" i="2"/>
  <c r="R173" i="2"/>
  <c r="H174" i="2"/>
  <c r="P174" i="2"/>
  <c r="X174" i="2"/>
  <c r="N175" i="2"/>
  <c r="V175" i="2"/>
  <c r="L176" i="2"/>
  <c r="T176" i="2"/>
  <c r="J177" i="2"/>
  <c r="R177" i="2"/>
  <c r="H178" i="2"/>
  <c r="P178" i="2"/>
  <c r="X178" i="2"/>
  <c r="N179" i="2"/>
  <c r="V179" i="2"/>
  <c r="L180" i="2"/>
  <c r="T180" i="2"/>
  <c r="J181" i="2"/>
  <c r="R181" i="2"/>
  <c r="N183" i="2"/>
  <c r="V183" i="2"/>
  <c r="L184" i="2"/>
  <c r="T184" i="2"/>
  <c r="J185" i="2"/>
  <c r="R185" i="2"/>
  <c r="H186" i="2"/>
  <c r="P186" i="2"/>
  <c r="X186" i="2"/>
  <c r="N187" i="2"/>
  <c r="N114" i="2"/>
  <c r="I119" i="2"/>
  <c r="U123" i="2"/>
  <c r="Q127" i="2"/>
  <c r="Y129" i="2"/>
  <c r="Q133" i="2"/>
  <c r="I137" i="2"/>
  <c r="S140" i="2"/>
  <c r="K144" i="2"/>
  <c r="V146" i="2"/>
  <c r="N148" i="2"/>
  <c r="S149" i="2"/>
  <c r="T150" i="2"/>
  <c r="X151" i="2"/>
  <c r="K153" i="2"/>
  <c r="L154" i="2"/>
  <c r="L156" i="2"/>
  <c r="J157" i="2"/>
  <c r="H158" i="2"/>
  <c r="X158" i="2"/>
  <c r="V159" i="2"/>
  <c r="T160" i="2"/>
  <c r="K161" i="2"/>
  <c r="T161" i="2"/>
  <c r="K162" i="2"/>
  <c r="T162" i="2"/>
  <c r="K163" i="2"/>
  <c r="T163" i="2"/>
  <c r="L164" i="2"/>
  <c r="U164" i="2"/>
  <c r="L165" i="2"/>
  <c r="U165" i="2"/>
  <c r="L166" i="2"/>
  <c r="U166" i="2"/>
  <c r="L167" i="2"/>
  <c r="V167" i="2"/>
  <c r="M168" i="2"/>
  <c r="U168" i="2"/>
  <c r="K169" i="2"/>
  <c r="S169" i="2"/>
  <c r="I170" i="2"/>
  <c r="Q170" i="2"/>
  <c r="Y170" i="2"/>
  <c r="O171" i="2"/>
  <c r="W171" i="2"/>
  <c r="L115" i="2"/>
  <c r="O141" i="2"/>
  <c r="T149" i="2"/>
  <c r="N153" i="2"/>
  <c r="T157" i="2"/>
  <c r="X159" i="2"/>
  <c r="U161" i="2"/>
  <c r="I163" i="2"/>
  <c r="N164" i="2"/>
  <c r="V165" i="2"/>
  <c r="J167" i="2"/>
  <c r="O168" i="2"/>
  <c r="T169" i="2"/>
  <c r="W170" i="2"/>
  <c r="Y171" i="2"/>
  <c r="W172" i="2"/>
  <c r="U173" i="2"/>
  <c r="S174" i="2"/>
  <c r="Q175" i="2"/>
  <c r="O176" i="2"/>
  <c r="M177" i="2"/>
  <c r="K178" i="2"/>
  <c r="I179" i="2"/>
  <c r="Y179" i="2"/>
  <c r="W180" i="2"/>
  <c r="U181" i="2"/>
  <c r="P183" i="2"/>
  <c r="N184" i="2"/>
  <c r="L185" i="2"/>
  <c r="J186" i="2"/>
  <c r="H187" i="2"/>
  <c r="W187" i="2"/>
  <c r="S188" i="2"/>
  <c r="L189" i="2"/>
  <c r="Y189" i="2"/>
  <c r="Q190" i="2"/>
  <c r="F146" i="2"/>
  <c r="F117" i="2"/>
  <c r="F125" i="2"/>
  <c r="F133" i="2"/>
  <c r="I84" i="2"/>
  <c r="Q84" i="2"/>
  <c r="Y84" i="2"/>
  <c r="O85" i="2"/>
  <c r="Q115" i="2"/>
  <c r="Q141" i="2"/>
  <c r="V149" i="2"/>
  <c r="I154" i="2"/>
  <c r="I158" i="2"/>
  <c r="N160" i="2"/>
  <c r="V161" i="2"/>
  <c r="L163" i="2"/>
  <c r="R164" i="2"/>
  <c r="W165" i="2"/>
  <c r="N167" i="2"/>
  <c r="S168" i="2"/>
  <c r="U169" i="2"/>
  <c r="H171" i="2"/>
  <c r="K172" i="2"/>
  <c r="I173" i="2"/>
  <c r="Y173" i="2"/>
  <c r="W174" i="2"/>
  <c r="U175" i="2"/>
  <c r="S176" i="2"/>
  <c r="Q177" i="2"/>
  <c r="O178" i="2"/>
  <c r="M179" i="2"/>
  <c r="K180" i="2"/>
  <c r="I181" i="2"/>
  <c r="Y181" i="2"/>
  <c r="Q183" i="2"/>
  <c r="O184" i="2"/>
  <c r="M185" i="2"/>
  <c r="K186" i="2"/>
  <c r="I187" i="2"/>
  <c r="X187" i="2"/>
  <c r="T188" i="2"/>
  <c r="M189" i="2"/>
  <c r="H190" i="2"/>
  <c r="R190" i="2"/>
  <c r="F160" i="2"/>
  <c r="F164" i="2"/>
  <c r="F168" i="2"/>
  <c r="F172" i="2"/>
  <c r="F176" i="2"/>
  <c r="F180" i="2"/>
  <c r="F184" i="2"/>
  <c r="F188" i="2"/>
  <c r="F138" i="2"/>
  <c r="F142" i="2"/>
  <c r="F110" i="2"/>
  <c r="F118" i="2"/>
  <c r="F126" i="2"/>
  <c r="F134" i="2"/>
  <c r="J84" i="2"/>
  <c r="R84" i="2"/>
  <c r="H85" i="2"/>
  <c r="P85" i="2"/>
  <c r="X85" i="2"/>
  <c r="N86" i="2"/>
  <c r="V86" i="2"/>
  <c r="L87" i="2"/>
  <c r="T87" i="2"/>
  <c r="J88" i="2"/>
  <c r="R88" i="2"/>
  <c r="H89" i="2"/>
  <c r="P89" i="2"/>
  <c r="X89" i="2"/>
  <c r="N90" i="2"/>
  <c r="V90" i="2"/>
  <c r="L91" i="2"/>
  <c r="T91" i="2"/>
  <c r="J92" i="2"/>
  <c r="R92" i="2"/>
  <c r="H93" i="2"/>
  <c r="P93" i="2"/>
  <c r="X93" i="2"/>
  <c r="N94" i="2"/>
  <c r="V94" i="2"/>
  <c r="L95" i="2"/>
  <c r="T95" i="2"/>
  <c r="J96" i="2"/>
  <c r="R96" i="2"/>
  <c r="H97" i="2"/>
  <c r="P97" i="2"/>
  <c r="X97" i="2"/>
  <c r="N98" i="2"/>
  <c r="V98" i="2"/>
  <c r="Y119" i="2"/>
  <c r="U130" i="2"/>
  <c r="Y144" i="2"/>
  <c r="Y150" i="2"/>
  <c r="Q154" i="2"/>
  <c r="J158" i="2"/>
  <c r="U160" i="2"/>
  <c r="I162" i="2"/>
  <c r="N163" i="2"/>
  <c r="V164" i="2"/>
  <c r="J166" i="2"/>
  <c r="K120" i="2"/>
  <c r="W130" i="2"/>
  <c r="I145" i="2"/>
  <c r="H151" i="2"/>
  <c r="R154" i="2"/>
  <c r="M156" i="2"/>
  <c r="R158" i="2"/>
  <c r="V160" i="2"/>
  <c r="L162" i="2"/>
  <c r="R163" i="2"/>
  <c r="W164" i="2"/>
  <c r="M166" i="2"/>
  <c r="S167" i="2"/>
  <c r="W168" i="2"/>
  <c r="J170" i="2"/>
  <c r="M171" i="2"/>
  <c r="N172" i="2"/>
  <c r="L173" i="2"/>
  <c r="J174" i="2"/>
  <c r="H175" i="2"/>
  <c r="X175" i="2"/>
  <c r="V176" i="2"/>
  <c r="T177" i="2"/>
  <c r="R178" i="2"/>
  <c r="P179" i="2"/>
  <c r="N180" i="2"/>
  <c r="L181" i="2"/>
  <c r="W183" i="2"/>
  <c r="U184" i="2"/>
  <c r="S185" i="2"/>
  <c r="Q186" i="2"/>
  <c r="O187" i="2"/>
  <c r="K188" i="2"/>
  <c r="V188" i="2"/>
  <c r="R189" i="2"/>
  <c r="J190" i="2"/>
  <c r="T190" i="2"/>
  <c r="F148" i="2"/>
  <c r="F161" i="2"/>
  <c r="F165" i="2"/>
  <c r="F169" i="2"/>
  <c r="F173" i="2"/>
  <c r="F177" i="2"/>
  <c r="F181" i="2"/>
  <c r="F185" i="2"/>
  <c r="F189" i="2"/>
  <c r="F139" i="2"/>
  <c r="F143" i="2"/>
  <c r="F112" i="2"/>
  <c r="F120" i="2"/>
  <c r="F136" i="2"/>
  <c r="L84" i="2"/>
  <c r="T84" i="2"/>
  <c r="J85" i="2"/>
  <c r="R85" i="2"/>
  <c r="H86" i="2"/>
  <c r="P86" i="2"/>
  <c r="X86" i="2"/>
  <c r="N87" i="2"/>
  <c r="V87" i="2"/>
  <c r="L88" i="2"/>
  <c r="T88" i="2"/>
  <c r="J89" i="2"/>
  <c r="R89" i="2"/>
  <c r="H90" i="2"/>
  <c r="P90" i="2"/>
  <c r="X90" i="2"/>
  <c r="N91" i="2"/>
  <c r="V91" i="2"/>
  <c r="L92" i="2"/>
  <c r="T92" i="2"/>
  <c r="J93" i="2"/>
  <c r="R93" i="2"/>
  <c r="H94" i="2"/>
  <c r="P94" i="2"/>
  <c r="X94" i="2"/>
  <c r="N95" i="2"/>
  <c r="V95" i="2"/>
  <c r="L96" i="2"/>
  <c r="T96" i="2"/>
  <c r="J97" i="2"/>
  <c r="R97" i="2"/>
  <c r="H98" i="2"/>
  <c r="P98" i="2"/>
  <c r="R124" i="2"/>
  <c r="M134" i="2"/>
  <c r="L147" i="2"/>
  <c r="H152" i="2"/>
  <c r="N156" i="2"/>
  <c r="Y158" i="2"/>
  <c r="H161" i="2"/>
  <c r="M162" i="2"/>
  <c r="V163" i="2"/>
  <c r="J165" i="2"/>
  <c r="N166" i="2"/>
  <c r="W167" i="2"/>
  <c r="I169" i="2"/>
  <c r="K170" i="2"/>
  <c r="P171" i="2"/>
  <c r="O172" i="2"/>
  <c r="M173" i="2"/>
  <c r="K174" i="2"/>
  <c r="I175" i="2"/>
  <c r="Y175" i="2"/>
  <c r="W176" i="2"/>
  <c r="U177" i="2"/>
  <c r="S178" i="2"/>
  <c r="Q179" i="2"/>
  <c r="O180" i="2"/>
  <c r="M181" i="2"/>
  <c r="H183" i="2"/>
  <c r="X183" i="2"/>
  <c r="V184" i="2"/>
  <c r="T185" i="2"/>
  <c r="R186" i="2"/>
  <c r="P187" i="2"/>
  <c r="L188" i="2"/>
  <c r="W188" i="2"/>
  <c r="S189" i="2"/>
  <c r="K190" i="2"/>
  <c r="W190" i="2"/>
  <c r="F153" i="2"/>
  <c r="F157" i="2"/>
  <c r="F113" i="2"/>
  <c r="F121" i="2"/>
  <c r="F129" i="2"/>
  <c r="M84" i="2"/>
  <c r="U84" i="2"/>
  <c r="K85" i="2"/>
  <c r="S85" i="2"/>
  <c r="I86" i="2"/>
  <c r="Q86" i="2"/>
  <c r="Y86" i="2"/>
  <c r="O87" i="2"/>
  <c r="W87" i="2"/>
  <c r="M88" i="2"/>
  <c r="U88" i="2"/>
  <c r="K89" i="2"/>
  <c r="S89" i="2"/>
  <c r="I90" i="2"/>
  <c r="Q90" i="2"/>
  <c r="Y90" i="2"/>
  <c r="O91" i="2"/>
  <c r="W91" i="2"/>
  <c r="M92" i="2"/>
  <c r="U92" i="2"/>
  <c r="K93" i="2"/>
  <c r="S93" i="2"/>
  <c r="I94" i="2"/>
  <c r="Q94" i="2"/>
  <c r="Y94" i="2"/>
  <c r="O95" i="2"/>
  <c r="W95" i="2"/>
  <c r="W124" i="2"/>
  <c r="O134" i="2"/>
  <c r="M147" i="2"/>
  <c r="M152" i="2"/>
  <c r="V156" i="2"/>
  <c r="H159" i="2"/>
  <c r="L161" i="2"/>
  <c r="R162" i="2"/>
  <c r="W163" i="2"/>
  <c r="M165" i="2"/>
  <c r="S166" i="2"/>
  <c r="X167" i="2"/>
  <c r="L169" i="2"/>
  <c r="O170" i="2"/>
  <c r="Q171" i="2"/>
  <c r="S172" i="2"/>
  <c r="Q173" i="2"/>
  <c r="O174" i="2"/>
  <c r="M175" i="2"/>
  <c r="K176" i="2"/>
  <c r="I177" i="2"/>
  <c r="Y177" i="2"/>
  <c r="W178" i="2"/>
  <c r="U179" i="2"/>
  <c r="S180" i="2"/>
  <c r="Q181" i="2"/>
  <c r="I183" i="2"/>
  <c r="Y183" i="2"/>
  <c r="W184" i="2"/>
  <c r="U185" i="2"/>
  <c r="S186" i="2"/>
  <c r="Q187" i="2"/>
  <c r="M188" i="2"/>
  <c r="I189" i="2"/>
  <c r="T189" i="2"/>
  <c r="L190" i="2"/>
  <c r="X190" i="2"/>
  <c r="F149" i="2"/>
  <c r="F162" i="2"/>
  <c r="F166" i="2"/>
  <c r="F170" i="2"/>
  <c r="F174" i="2"/>
  <c r="F178" i="2"/>
  <c r="F186" i="2"/>
  <c r="F190" i="2"/>
  <c r="F140" i="2"/>
  <c r="F144" i="2"/>
  <c r="F114" i="2"/>
  <c r="F122" i="2"/>
  <c r="F130" i="2"/>
  <c r="N84" i="2"/>
  <c r="V84" i="2"/>
  <c r="L85" i="2"/>
  <c r="T85" i="2"/>
  <c r="J86" i="2"/>
  <c r="R86" i="2"/>
  <c r="H87" i="2"/>
  <c r="P87" i="2"/>
  <c r="X87" i="2"/>
  <c r="N88" i="2"/>
  <c r="V88" i="2"/>
  <c r="L89" i="2"/>
  <c r="T89" i="2"/>
  <c r="J90" i="2"/>
  <c r="R90" i="2"/>
  <c r="H91" i="2"/>
  <c r="P91" i="2"/>
  <c r="X91" i="2"/>
  <c r="N92" i="2"/>
  <c r="V92" i="2"/>
  <c r="L93" i="2"/>
  <c r="V152" i="2"/>
  <c r="P159" i="2"/>
  <c r="N165" i="2"/>
  <c r="M169" i="2"/>
  <c r="M172" i="2"/>
  <c r="R174" i="2"/>
  <c r="K177" i="2"/>
  <c r="O179" i="2"/>
  <c r="T181" i="2"/>
  <c r="M183" i="2"/>
  <c r="Q185" i="2"/>
  <c r="V187" i="2"/>
  <c r="U189" i="2"/>
  <c r="F141" i="2"/>
  <c r="F115" i="2"/>
  <c r="F132" i="2"/>
  <c r="P84" i="2"/>
  <c r="U85" i="2"/>
  <c r="S86" i="2"/>
  <c r="Q87" i="2"/>
  <c r="O88" i="2"/>
  <c r="M89" i="2"/>
  <c r="K90" i="2"/>
  <c r="I91" i="2"/>
  <c r="Y91" i="2"/>
  <c r="W92" i="2"/>
  <c r="T93" i="2"/>
  <c r="M94" i="2"/>
  <c r="I95" i="2"/>
  <c r="U95" i="2"/>
  <c r="O96" i="2"/>
  <c r="Y96" i="2"/>
  <c r="S97" i="2"/>
  <c r="K98" i="2"/>
  <c r="U98" i="2"/>
  <c r="L99" i="2"/>
  <c r="T99" i="2"/>
  <c r="J100" i="2"/>
  <c r="R100" i="2"/>
  <c r="N102" i="2"/>
  <c r="V102" i="2"/>
  <c r="L103" i="2"/>
  <c r="T103" i="2"/>
  <c r="J104" i="2"/>
  <c r="R104" i="2"/>
  <c r="H105" i="2"/>
  <c r="P105" i="2"/>
  <c r="X105" i="2"/>
  <c r="N106" i="2"/>
  <c r="V106" i="2"/>
  <c r="L107" i="2"/>
  <c r="T107" i="2"/>
  <c r="J108" i="2"/>
  <c r="R108" i="2"/>
  <c r="H109" i="2"/>
  <c r="P109" i="2"/>
  <c r="X109" i="2"/>
  <c r="F90" i="2"/>
  <c r="F98" i="2"/>
  <c r="F106" i="2"/>
  <c r="Y83" i="2"/>
  <c r="Y36" i="2"/>
  <c r="Y49" i="2"/>
  <c r="Y57" i="2"/>
  <c r="Y65" i="2"/>
  <c r="Y73" i="2"/>
  <c r="Y81" i="2"/>
  <c r="U36" i="2"/>
  <c r="V37" i="2"/>
  <c r="L153" i="2"/>
  <c r="W159" i="2"/>
  <c r="S165" i="2"/>
  <c r="Q169" i="2"/>
  <c r="U172" i="2"/>
  <c r="Y174" i="2"/>
  <c r="L177" i="2"/>
  <c r="W179" i="2"/>
  <c r="O183" i="2"/>
  <c r="Y185" i="2"/>
  <c r="Y187" i="2"/>
  <c r="V189" i="2"/>
  <c r="F158" i="2"/>
  <c r="F171" i="2"/>
  <c r="F183" i="2"/>
  <c r="F116" i="2"/>
  <c r="F135" i="2"/>
  <c r="S84" i="2"/>
  <c r="V85" i="2"/>
  <c r="T86" i="2"/>
  <c r="R87" i="2"/>
  <c r="P88" i="2"/>
  <c r="N89" i="2"/>
  <c r="L90" i="2"/>
  <c r="J91" i="2"/>
  <c r="H92" i="2"/>
  <c r="X92" i="2"/>
  <c r="U93" i="2"/>
  <c r="O94" i="2"/>
  <c r="J95" i="2"/>
  <c r="X95" i="2"/>
  <c r="P96" i="2"/>
  <c r="I97" i="2"/>
  <c r="T97" i="2"/>
  <c r="L98" i="2"/>
  <c r="W98" i="2"/>
  <c r="M99" i="2"/>
  <c r="U99" i="2"/>
  <c r="K100" i="2"/>
  <c r="S100" i="2"/>
  <c r="O102" i="2"/>
  <c r="W102" i="2"/>
  <c r="M103" i="2"/>
  <c r="U103" i="2"/>
  <c r="K104" i="2"/>
  <c r="S104" i="2"/>
  <c r="I105" i="2"/>
  <c r="Q105" i="2"/>
  <c r="Y105" i="2"/>
  <c r="O106" i="2"/>
  <c r="W106" i="2"/>
  <c r="M107" i="2"/>
  <c r="U107" i="2"/>
  <c r="K108" i="2"/>
  <c r="S108" i="2"/>
  <c r="I109" i="2"/>
  <c r="Q109" i="2"/>
  <c r="Y109" i="2"/>
  <c r="F91" i="2"/>
  <c r="F99" i="2"/>
  <c r="F107" i="2"/>
  <c r="Y19" i="2"/>
  <c r="Y37" i="2"/>
  <c r="Y50" i="2"/>
  <c r="Y58" i="2"/>
  <c r="Y66" i="2"/>
  <c r="Y74" i="2"/>
  <c r="Y82" i="2"/>
  <c r="V36" i="2"/>
  <c r="W37" i="2"/>
  <c r="X38" i="2"/>
  <c r="R40" i="2"/>
  <c r="S41" i="2"/>
  <c r="M161" i="2"/>
  <c r="V166" i="2"/>
  <c r="Y169" i="2"/>
  <c r="V172" i="2"/>
  <c r="O175" i="2"/>
  <c r="S177" i="2"/>
  <c r="X179" i="2"/>
  <c r="U183" i="2"/>
  <c r="I186" i="2"/>
  <c r="N188" i="2"/>
  <c r="I190" i="2"/>
  <c r="F154" i="2"/>
  <c r="F119" i="2"/>
  <c r="W84" i="2"/>
  <c r="W85" i="2"/>
  <c r="U86" i="2"/>
  <c r="S87" i="2"/>
  <c r="Q88" i="2"/>
  <c r="O89" i="2"/>
  <c r="M90" i="2"/>
  <c r="K91" i="2"/>
  <c r="I92" i="2"/>
  <c r="Y92" i="2"/>
  <c r="V93" i="2"/>
  <c r="R94" i="2"/>
  <c r="K95" i="2"/>
  <c r="Y95" i="2"/>
  <c r="Q96" i="2"/>
  <c r="K97" i="2"/>
  <c r="U97" i="2"/>
  <c r="M98" i="2"/>
  <c r="X98" i="2"/>
  <c r="N99" i="2"/>
  <c r="V99" i="2"/>
  <c r="L100" i="2"/>
  <c r="T100" i="2"/>
  <c r="H102" i="2"/>
  <c r="P102" i="2"/>
  <c r="X102" i="2"/>
  <c r="N103" i="2"/>
  <c r="V103" i="2"/>
  <c r="L104" i="2"/>
  <c r="T104" i="2"/>
  <c r="J105" i="2"/>
  <c r="R105" i="2"/>
  <c r="H106" i="2"/>
  <c r="P106" i="2"/>
  <c r="X106" i="2"/>
  <c r="N107" i="2"/>
  <c r="V107" i="2"/>
  <c r="L108" i="2"/>
  <c r="T108" i="2"/>
  <c r="J109" i="2"/>
  <c r="R109" i="2"/>
  <c r="F84" i="2"/>
  <c r="F92" i="2"/>
  <c r="F100" i="2"/>
  <c r="F108" i="2"/>
  <c r="Y20" i="2"/>
  <c r="Y38" i="2"/>
  <c r="Y51" i="2"/>
  <c r="Y59" i="2"/>
  <c r="Y67" i="2"/>
  <c r="Y75" i="2"/>
  <c r="Y16" i="2"/>
  <c r="W36" i="2"/>
  <c r="X37" i="2"/>
  <c r="R39" i="2"/>
  <c r="S40" i="2"/>
  <c r="T41" i="2"/>
  <c r="U42" i="2"/>
  <c r="U48" i="2"/>
  <c r="V49" i="2"/>
  <c r="W50" i="2"/>
  <c r="X51" i="2"/>
  <c r="R53" i="2"/>
  <c r="S54" i="2"/>
  <c r="T55" i="2"/>
  <c r="V57" i="2"/>
  <c r="W58" i="2"/>
  <c r="X59" i="2"/>
  <c r="R61" i="2"/>
  <c r="S62" i="2"/>
  <c r="T63" i="2"/>
  <c r="U64" i="2"/>
  <c r="V65" i="2"/>
  <c r="W66" i="2"/>
  <c r="X67" i="2"/>
  <c r="R69" i="2"/>
  <c r="S70" i="2"/>
  <c r="T71" i="2"/>
  <c r="U72" i="2"/>
  <c r="V73" i="2"/>
  <c r="W74" i="2"/>
  <c r="X75" i="2"/>
  <c r="R77" i="2"/>
  <c r="S78" i="2"/>
  <c r="T79" i="2"/>
  <c r="U80" i="2"/>
  <c r="V81" i="2"/>
  <c r="W82" i="2"/>
  <c r="X83" i="2"/>
  <c r="R20" i="2"/>
  <c r="R26" i="2"/>
  <c r="S27" i="2"/>
  <c r="R161" i="2"/>
  <c r="X166" i="2"/>
  <c r="R170" i="2"/>
  <c r="K173" i="2"/>
  <c r="P175" i="2"/>
  <c r="I178" i="2"/>
  <c r="M180" i="2"/>
  <c r="K184" i="2"/>
  <c r="O186" i="2"/>
  <c r="O188" i="2"/>
  <c r="O190" i="2"/>
  <c r="F179" i="2"/>
  <c r="F137" i="2"/>
  <c r="F123" i="2"/>
  <c r="X84" i="2"/>
  <c r="Y85" i="2"/>
  <c r="W86" i="2"/>
  <c r="U87" i="2"/>
  <c r="S88" i="2"/>
  <c r="Q89" i="2"/>
  <c r="O90" i="2"/>
  <c r="M91" i="2"/>
  <c r="K92" i="2"/>
  <c r="I93" i="2"/>
  <c r="W93" i="2"/>
  <c r="S94" i="2"/>
  <c r="M95" i="2"/>
  <c r="H96" i="2"/>
  <c r="S96" i="2"/>
  <c r="L97" i="2"/>
  <c r="V97" i="2"/>
  <c r="O98" i="2"/>
  <c r="Y98" i="2"/>
  <c r="O99" i="2"/>
  <c r="W99" i="2"/>
  <c r="M100" i="2"/>
  <c r="U100" i="2"/>
  <c r="I102" i="2"/>
  <c r="Q102" i="2"/>
  <c r="Y102" i="2"/>
  <c r="O103" i="2"/>
  <c r="W103" i="2"/>
  <c r="M104" i="2"/>
  <c r="U104" i="2"/>
  <c r="K105" i="2"/>
  <c r="S105" i="2"/>
  <c r="I106" i="2"/>
  <c r="Q106" i="2"/>
  <c r="Y106" i="2"/>
  <c r="O107" i="2"/>
  <c r="W107" i="2"/>
  <c r="M108" i="2"/>
  <c r="U108" i="2"/>
  <c r="K109" i="2"/>
  <c r="S109" i="2"/>
  <c r="F85" i="2"/>
  <c r="F93" i="2"/>
  <c r="F109" i="2"/>
  <c r="Y26" i="2"/>
  <c r="Y39" i="2"/>
  <c r="Y52" i="2"/>
  <c r="Y60" i="2"/>
  <c r="Y68" i="2"/>
  <c r="Y76" i="2"/>
  <c r="Y18" i="2"/>
  <c r="X36" i="2"/>
  <c r="R38" i="2"/>
  <c r="S39" i="2"/>
  <c r="T40" i="2"/>
  <c r="U41" i="2"/>
  <c r="V42" i="2"/>
  <c r="V48" i="2"/>
  <c r="W49" i="2"/>
  <c r="X50" i="2"/>
  <c r="R52" i="2"/>
  <c r="S53" i="2"/>
  <c r="T54" i="2"/>
  <c r="U55" i="2"/>
  <c r="W57" i="2"/>
  <c r="X58" i="2"/>
  <c r="R60" i="2"/>
  <c r="S61" i="2"/>
  <c r="T62" i="2"/>
  <c r="U63" i="2"/>
  <c r="V64" i="2"/>
  <c r="W65" i="2"/>
  <c r="X66" i="2"/>
  <c r="R68" i="2"/>
  <c r="S69" i="2"/>
  <c r="T70" i="2"/>
  <c r="U71" i="2"/>
  <c r="V72" i="2"/>
  <c r="W73" i="2"/>
  <c r="X74" i="2"/>
  <c r="R76" i="2"/>
  <c r="S77" i="2"/>
  <c r="T78" i="2"/>
  <c r="U79" i="2"/>
  <c r="V80" i="2"/>
  <c r="W81" i="2"/>
  <c r="X82" i="2"/>
  <c r="R19" i="2"/>
  <c r="S20" i="2"/>
  <c r="S26" i="2"/>
  <c r="T27" i="2"/>
  <c r="U28" i="2"/>
  <c r="V29" i="2"/>
  <c r="W35" i="2"/>
  <c r="W18" i="2"/>
  <c r="W137" i="2"/>
  <c r="U162" i="2"/>
  <c r="O167" i="2"/>
  <c r="S170" i="2"/>
  <c r="S173" i="2"/>
  <c r="W175" i="2"/>
  <c r="J178" i="2"/>
  <c r="U180" i="2"/>
  <c r="M184" i="2"/>
  <c r="W186" i="2"/>
  <c r="U188" i="2"/>
  <c r="P190" i="2"/>
  <c r="F150" i="2"/>
  <c r="F167" i="2"/>
  <c r="F124" i="2"/>
  <c r="I85" i="2"/>
  <c r="K86" i="2"/>
  <c r="I87" i="2"/>
  <c r="Y87" i="2"/>
  <c r="W88" i="2"/>
  <c r="U89" i="2"/>
  <c r="S90" i="2"/>
  <c r="Q91" i="2"/>
  <c r="O92" i="2"/>
  <c r="M93" i="2"/>
  <c r="Y93" i="2"/>
  <c r="T94" i="2"/>
  <c r="P95" i="2"/>
  <c r="I96" i="2"/>
  <c r="U96" i="2"/>
  <c r="M97" i="2"/>
  <c r="W97" i="2"/>
  <c r="Q98" i="2"/>
  <c r="H99" i="2"/>
  <c r="P99" i="2"/>
  <c r="X99" i="2"/>
  <c r="N100" i="2"/>
  <c r="V100" i="2"/>
  <c r="J102" i="2"/>
  <c r="R102" i="2"/>
  <c r="H103" i="2"/>
  <c r="P103" i="2"/>
  <c r="X103" i="2"/>
  <c r="N104" i="2"/>
  <c r="V104" i="2"/>
  <c r="L105" i="2"/>
  <c r="T105" i="2"/>
  <c r="J106" i="2"/>
  <c r="R106" i="2"/>
  <c r="H107" i="2"/>
  <c r="P107" i="2"/>
  <c r="X107" i="2"/>
  <c r="N108" i="2"/>
  <c r="V108" i="2"/>
  <c r="L109" i="2"/>
  <c r="T109" i="2"/>
  <c r="F86" i="2"/>
  <c r="F94" i="2"/>
  <c r="F102" i="2"/>
  <c r="Y27" i="2"/>
  <c r="Y40" i="2"/>
  <c r="Y53" i="2"/>
  <c r="Y61" i="2"/>
  <c r="Y69" i="2"/>
  <c r="Y77" i="2"/>
  <c r="R37" i="2"/>
  <c r="S38" i="2"/>
  <c r="T39" i="2"/>
  <c r="U40" i="2"/>
  <c r="V41" i="2"/>
  <c r="W42" i="2"/>
  <c r="W48" i="2"/>
  <c r="X49" i="2"/>
  <c r="R51" i="2"/>
  <c r="S52" i="2"/>
  <c r="T53" i="2"/>
  <c r="U54" i="2"/>
  <c r="V55" i="2"/>
  <c r="X57" i="2"/>
  <c r="R59" i="2"/>
  <c r="S60" i="2"/>
  <c r="P148" i="2"/>
  <c r="K157" i="2"/>
  <c r="I164" i="2"/>
  <c r="N168" i="2"/>
  <c r="U171" i="2"/>
  <c r="I174" i="2"/>
  <c r="N176" i="2"/>
  <c r="Y178" i="2"/>
  <c r="K181" i="2"/>
  <c r="I185" i="2"/>
  <c r="M187" i="2"/>
  <c r="K189" i="2"/>
  <c r="Y190" i="2"/>
  <c r="F156" i="2"/>
  <c r="F175" i="2"/>
  <c r="F187" i="2"/>
  <c r="K84" i="2"/>
  <c r="N85" i="2"/>
  <c r="M86" i="2"/>
  <c r="K87" i="2"/>
  <c r="I88" i="2"/>
  <c r="Y88" i="2"/>
  <c r="W89" i="2"/>
  <c r="U90" i="2"/>
  <c r="S91" i="2"/>
  <c r="X171" i="2"/>
  <c r="S181" i="2"/>
  <c r="K185" i="2"/>
  <c r="F145" i="2"/>
  <c r="M87" i="2"/>
  <c r="W90" i="2"/>
  <c r="Q93" i="2"/>
  <c r="R95" i="2"/>
  <c r="N97" i="2"/>
  <c r="T98" i="2"/>
  <c r="H100" i="2"/>
  <c r="I103" i="2"/>
  <c r="I104" i="2"/>
  <c r="N105" i="2"/>
  <c r="S106" i="2"/>
  <c r="S107" i="2"/>
  <c r="X108" i="2"/>
  <c r="F87" i="2"/>
  <c r="F104" i="2"/>
  <c r="Y35" i="2"/>
  <c r="Y63" i="2"/>
  <c r="R36" i="2"/>
  <c r="V38" i="2"/>
  <c r="X40" i="2"/>
  <c r="X46" i="2"/>
  <c r="U49" i="2"/>
  <c r="U51" i="2"/>
  <c r="U53" i="2"/>
  <c r="R55" i="2"/>
  <c r="R57" i="2"/>
  <c r="V58" i="2"/>
  <c r="V60" i="2"/>
  <c r="R62" i="2"/>
  <c r="W63" i="2"/>
  <c r="S65" i="2"/>
  <c r="V66" i="2"/>
  <c r="T68" i="2"/>
  <c r="W69" i="2"/>
  <c r="S71" i="2"/>
  <c r="X72" i="2"/>
  <c r="T74" i="2"/>
  <c r="W75" i="2"/>
  <c r="U77" i="2"/>
  <c r="X78" i="2"/>
  <c r="T80" i="2"/>
  <c r="R82" i="2"/>
  <c r="U83" i="2"/>
  <c r="X19" i="2"/>
  <c r="U26" i="2"/>
  <c r="X27" i="2"/>
  <c r="S29" i="2"/>
  <c r="U35" i="2"/>
  <c r="V18" i="2"/>
  <c r="H79" i="2"/>
  <c r="Q79" i="2"/>
  <c r="N80" i="2"/>
  <c r="K81" i="2"/>
  <c r="H82" i="2"/>
  <c r="P82" i="2"/>
  <c r="M83" i="2"/>
  <c r="J77" i="2"/>
  <c r="F78" i="2"/>
  <c r="O78" i="2"/>
  <c r="I57" i="2"/>
  <c r="F58" i="2"/>
  <c r="O58" i="2"/>
  <c r="L59" i="2"/>
  <c r="K60" i="2"/>
  <c r="H61" i="2"/>
  <c r="P61" i="2"/>
  <c r="M62" i="2"/>
  <c r="J63" i="2"/>
  <c r="F64" i="2"/>
  <c r="O64" i="2"/>
  <c r="L65" i="2"/>
  <c r="L66" i="2"/>
  <c r="T173" i="2"/>
  <c r="Y186" i="2"/>
  <c r="H84" i="2"/>
  <c r="H88" i="2"/>
  <c r="R91" i="2"/>
  <c r="J94" i="2"/>
  <c r="S95" i="2"/>
  <c r="O97" i="2"/>
  <c r="I99" i="2"/>
  <c r="I100" i="2"/>
  <c r="J103" i="2"/>
  <c r="O104" i="2"/>
  <c r="O105" i="2"/>
  <c r="T106" i="2"/>
  <c r="Y107" i="2"/>
  <c r="Y108" i="2"/>
  <c r="F88" i="2"/>
  <c r="F105" i="2"/>
  <c r="Y41" i="2"/>
  <c r="Y64" i="2"/>
  <c r="S36" i="2"/>
  <c r="W38" i="2"/>
  <c r="R41" i="2"/>
  <c r="R48" i="2"/>
  <c r="R50" i="2"/>
  <c r="V51" i="2"/>
  <c r="V53" i="2"/>
  <c r="S55" i="2"/>
  <c r="S57" i="2"/>
  <c r="S59" i="2"/>
  <c r="W60" i="2"/>
  <c r="U62" i="2"/>
  <c r="X63" i="2"/>
  <c r="T65" i="2"/>
  <c r="R67" i="2"/>
  <c r="U68" i="2"/>
  <c r="X69" i="2"/>
  <c r="V71" i="2"/>
  <c r="R73" i="2"/>
  <c r="U74" i="2"/>
  <c r="S76" i="2"/>
  <c r="V77" i="2"/>
  <c r="R79" i="2"/>
  <c r="W80" i="2"/>
  <c r="S82" i="2"/>
  <c r="V83" i="2"/>
  <c r="T20" i="2"/>
  <c r="V26" i="2"/>
  <c r="R28" i="2"/>
  <c r="T29" i="2"/>
  <c r="V35" i="2"/>
  <c r="X18" i="2"/>
  <c r="I79" i="2"/>
  <c r="F80" i="2"/>
  <c r="O80" i="2"/>
  <c r="L81" i="2"/>
  <c r="I82" i="2"/>
  <c r="Q82" i="2"/>
  <c r="N83" i="2"/>
  <c r="K77" i="2"/>
  <c r="H78" i="2"/>
  <c r="P78" i="2"/>
  <c r="J57" i="2"/>
  <c r="H58" i="2"/>
  <c r="P58" i="2"/>
  <c r="M59" i="2"/>
  <c r="L60" i="2"/>
  <c r="I61" i="2"/>
  <c r="Q61" i="2"/>
  <c r="N62" i="2"/>
  <c r="L157" i="2"/>
  <c r="Q174" i="2"/>
  <c r="U187" i="2"/>
  <c r="F163" i="2"/>
  <c r="F111" i="2"/>
  <c r="O84" i="2"/>
  <c r="K88" i="2"/>
  <c r="U91" i="2"/>
  <c r="K94" i="2"/>
  <c r="K96" i="2"/>
  <c r="Q97" i="2"/>
  <c r="J99" i="2"/>
  <c r="O100" i="2"/>
  <c r="K102" i="2"/>
  <c r="K103" i="2"/>
  <c r="P104" i="2"/>
  <c r="U105" i="2"/>
  <c r="U106" i="2"/>
  <c r="H108" i="2"/>
  <c r="M109" i="2"/>
  <c r="F89" i="2"/>
  <c r="Y42" i="2"/>
  <c r="Y70" i="2"/>
  <c r="T36" i="2"/>
  <c r="U39" i="2"/>
  <c r="W41" i="2"/>
  <c r="S48" i="2"/>
  <c r="S50" i="2"/>
  <c r="W51" i="2"/>
  <c r="W53" i="2"/>
  <c r="W55" i="2"/>
  <c r="T57" i="2"/>
  <c r="T59" i="2"/>
  <c r="X60" i="2"/>
  <c r="V62" i="2"/>
  <c r="R64" i="2"/>
  <c r="U65" i="2"/>
  <c r="S67" i="2"/>
  <c r="V68" i="2"/>
  <c r="R70" i="2"/>
  <c r="W71" i="2"/>
  <c r="S73" i="2"/>
  <c r="V74" i="2"/>
  <c r="T76" i="2"/>
  <c r="W77" i="2"/>
  <c r="S79" i="2"/>
  <c r="X80" i="2"/>
  <c r="T82" i="2"/>
  <c r="W83" i="2"/>
  <c r="U20" i="2"/>
  <c r="W26" i="2"/>
  <c r="S28" i="2"/>
  <c r="U29" i="2"/>
  <c r="X35" i="2"/>
  <c r="Y137" i="2"/>
  <c r="M164" i="2"/>
  <c r="U176" i="2"/>
  <c r="Q189" i="2"/>
  <c r="Q85" i="2"/>
  <c r="I89" i="2"/>
  <c r="Q92" i="2"/>
  <c r="U94" i="2"/>
  <c r="N96" i="2"/>
  <c r="I98" i="2"/>
  <c r="Q99" i="2"/>
  <c r="Q100" i="2"/>
  <c r="M102" i="2"/>
  <c r="R103" i="2"/>
  <c r="W104" i="2"/>
  <c r="W105" i="2"/>
  <c r="J107" i="2"/>
  <c r="O108" i="2"/>
  <c r="O109" i="2"/>
  <c r="F96" i="2"/>
  <c r="Y54" i="2"/>
  <c r="Y72" i="2"/>
  <c r="T37" i="2"/>
  <c r="W39" i="2"/>
  <c r="R42" i="2"/>
  <c r="X48" i="2"/>
  <c r="U50" i="2"/>
  <c r="U52" i="2"/>
  <c r="R54" i="2"/>
  <c r="R58" i="2"/>
  <c r="V59" i="2"/>
  <c r="U61" i="2"/>
  <c r="X62" i="2"/>
  <c r="T64" i="2"/>
  <c r="R66" i="2"/>
  <c r="U67" i="2"/>
  <c r="X68" i="2"/>
  <c r="V70" i="2"/>
  <c r="R72" i="2"/>
  <c r="U73" i="2"/>
  <c r="S75" i="2"/>
  <c r="V76" i="2"/>
  <c r="R78" i="2"/>
  <c r="W79" i="2"/>
  <c r="S81" i="2"/>
  <c r="V82" i="2"/>
  <c r="T19" i="2"/>
  <c r="W20" i="2"/>
  <c r="R27" i="2"/>
  <c r="V28" i="2"/>
  <c r="X29" i="2"/>
  <c r="R18" i="2"/>
  <c r="M79" i="2"/>
  <c r="J80" i="2"/>
  <c r="F81" i="2"/>
  <c r="O81" i="2"/>
  <c r="L82" i="2"/>
  <c r="I83" i="2"/>
  <c r="Q83" i="2"/>
  <c r="N77" i="2"/>
  <c r="K78" i="2"/>
  <c r="M57" i="2"/>
  <c r="K58" i="2"/>
  <c r="H59" i="2"/>
  <c r="F60" i="2"/>
  <c r="O60" i="2"/>
  <c r="L61" i="2"/>
  <c r="I62" i="2"/>
  <c r="Q62" i="2"/>
  <c r="N63" i="2"/>
  <c r="K64" i="2"/>
  <c r="H65" i="2"/>
  <c r="H66" i="2"/>
  <c r="P66" i="2"/>
  <c r="M67" i="2"/>
  <c r="L68" i="2"/>
  <c r="L69" i="2"/>
  <c r="I70" i="2"/>
  <c r="U148" i="2"/>
  <c r="J168" i="2"/>
  <c r="Q178" i="2"/>
  <c r="S190" i="2"/>
  <c r="F152" i="2"/>
  <c r="F131" i="2"/>
  <c r="L86" i="2"/>
  <c r="V89" i="2"/>
  <c r="S92" i="2"/>
  <c r="W94" i="2"/>
  <c r="V96" i="2"/>
  <c r="J98" i="2"/>
  <c r="R99" i="2"/>
  <c r="W100" i="2"/>
  <c r="S102" i="2"/>
  <c r="S103" i="2"/>
  <c r="X104" i="2"/>
  <c r="K106" i="2"/>
  <c r="K107" i="2"/>
  <c r="P108" i="2"/>
  <c r="U109" i="2"/>
  <c r="F97" i="2"/>
  <c r="Y55" i="2"/>
  <c r="Y78" i="2"/>
  <c r="U37" i="2"/>
  <c r="X39" i="2"/>
  <c r="S42" i="2"/>
  <c r="R49" i="2"/>
  <c r="V50" i="2"/>
  <c r="V52" i="2"/>
  <c r="V54" i="2"/>
  <c r="S58" i="2"/>
  <c r="W59" i="2"/>
  <c r="V61" i="2"/>
  <c r="R63" i="2"/>
  <c r="W64" i="2"/>
  <c r="S66" i="2"/>
  <c r="V67" i="2"/>
  <c r="T69" i="2"/>
  <c r="W70" i="2"/>
  <c r="S72" i="2"/>
  <c r="X73" i="2"/>
  <c r="T75" i="2"/>
  <c r="W76" i="2"/>
  <c r="U78" i="2"/>
  <c r="X79" i="2"/>
  <c r="T81" i="2"/>
  <c r="R83" i="2"/>
  <c r="U19" i="2"/>
  <c r="X20" i="2"/>
  <c r="U27" i="2"/>
  <c r="W28" i="2"/>
  <c r="R35" i="2"/>
  <c r="S18" i="2"/>
  <c r="N79" i="2"/>
  <c r="K80" i="2"/>
  <c r="H81" i="2"/>
  <c r="P81" i="2"/>
  <c r="M82" i="2"/>
  <c r="J83" i="2"/>
  <c r="F77" i="2"/>
  <c r="O77" i="2"/>
  <c r="L78" i="2"/>
  <c r="N57" i="2"/>
  <c r="L58" i="2"/>
  <c r="I59" i="2"/>
  <c r="H60" i="2"/>
  <c r="P60" i="2"/>
  <c r="M61" i="2"/>
  <c r="J62" i="2"/>
  <c r="F63" i="2"/>
  <c r="O63" i="2"/>
  <c r="L64" i="2"/>
  <c r="I65" i="2"/>
  <c r="I66" i="2"/>
  <c r="Q66" i="2"/>
  <c r="N67" i="2"/>
  <c r="M68" i="2"/>
  <c r="M69" i="2"/>
  <c r="Q49" i="2"/>
  <c r="F76" i="2"/>
  <c r="J75" i="2"/>
  <c r="M74" i="2"/>
  <c r="P73" i="2"/>
  <c r="H73" i="2"/>
  <c r="I72" i="2"/>
  <c r="L71" i="2"/>
  <c r="O70" i="2"/>
  <c r="P69" i="2"/>
  <c r="Q68" i="2"/>
  <c r="K67" i="2"/>
  <c r="K66" i="2"/>
  <c r="Q64" i="2"/>
  <c r="P63" i="2"/>
  <c r="L62" i="2"/>
  <c r="F61" i="2"/>
  <c r="K59" i="2"/>
  <c r="P57" i="2"/>
  <c r="N78" i="2"/>
  <c r="I77" i="2"/>
  <c r="O82" i="2"/>
  <c r="J81" i="2"/>
  <c r="P79" i="2"/>
  <c r="O128" i="2"/>
  <c r="O155" i="2"/>
  <c r="O182" i="2"/>
  <c r="W128" i="2"/>
  <c r="W155" i="2"/>
  <c r="W56" i="2"/>
  <c r="W101" i="2"/>
  <c r="T18" i="2"/>
  <c r="W27" i="2"/>
  <c r="S19" i="2"/>
  <c r="R80" i="2"/>
  <c r="V75" i="2"/>
  <c r="X71" i="2"/>
  <c r="W67" i="2"/>
  <c r="V63" i="2"/>
  <c r="U59" i="2"/>
  <c r="W54" i="2"/>
  <c r="T49" i="2"/>
  <c r="V39" i="2"/>
  <c r="F103" i="2"/>
  <c r="I108" i="2"/>
  <c r="Y104" i="2"/>
  <c r="P100" i="2"/>
  <c r="W96" i="2"/>
  <c r="T90" i="2"/>
  <c r="V162" i="2"/>
  <c r="M128" i="2"/>
  <c r="M155" i="2"/>
  <c r="M182" i="2"/>
  <c r="U128" i="2"/>
  <c r="U155" i="2"/>
  <c r="U182" i="2"/>
  <c r="U56" i="2"/>
  <c r="P72" i="2"/>
  <c r="U2" i="2"/>
  <c r="N128" i="2"/>
  <c r="N155" i="2"/>
  <c r="N182" i="2"/>
  <c r="V128" i="2"/>
  <c r="V155" i="2"/>
  <c r="V182" i="2"/>
  <c r="V56" i="2"/>
  <c r="V2" i="2"/>
  <c r="M101" i="2"/>
  <c r="Q128" i="2"/>
  <c r="Q155" i="2"/>
  <c r="Q101" i="2"/>
  <c r="Q182" i="2"/>
  <c r="Y155" i="2"/>
  <c r="Y128" i="2"/>
  <c r="Y182" i="2"/>
  <c r="Y101" i="2"/>
  <c r="Y2" i="2"/>
  <c r="R128" i="2"/>
  <c r="R155" i="2"/>
  <c r="R182" i="2"/>
  <c r="R101" i="2"/>
  <c r="R2" i="2"/>
  <c r="N59" i="2"/>
  <c r="N76" i="2"/>
  <c r="N65" i="2"/>
  <c r="N68" i="2"/>
  <c r="V101" i="2"/>
  <c r="O50" i="2"/>
  <c r="O67" i="2"/>
  <c r="O65" i="2"/>
  <c r="O68" i="2"/>
  <c r="N72" i="2"/>
  <c r="T17" i="2"/>
  <c r="T16" i="2"/>
  <c r="W11" i="2"/>
  <c r="W4" i="2"/>
  <c r="R23" i="2"/>
  <c r="W46" i="2"/>
  <c r="Y8" i="2"/>
  <c r="S16" i="2"/>
  <c r="U9" i="2"/>
  <c r="W3" i="2"/>
  <c r="X22" i="2"/>
  <c r="W45" i="2"/>
  <c r="X30" i="2"/>
  <c r="S15" i="2"/>
  <c r="T9" i="2"/>
  <c r="V3" i="2"/>
  <c r="T33" i="2"/>
  <c r="X21" i="2"/>
  <c r="V45" i="2"/>
  <c r="Y24" i="2"/>
  <c r="X4" i="2"/>
  <c r="R15" i="2"/>
  <c r="T8" i="2"/>
  <c r="S33" i="2"/>
  <c r="W21" i="2"/>
  <c r="V44" i="2"/>
  <c r="Y23" i="2"/>
  <c r="R14" i="2"/>
  <c r="S8" i="2"/>
  <c r="S32" i="2"/>
  <c r="T25" i="2"/>
  <c r="Y32" i="2"/>
  <c r="X13" i="2"/>
  <c r="S7" i="2"/>
  <c r="R32" i="2"/>
  <c r="S25" i="2"/>
  <c r="Y31" i="2"/>
  <c r="U17" i="2"/>
  <c r="X12" i="2"/>
  <c r="X5" i="2"/>
  <c r="R31" i="2"/>
  <c r="S24" i="2"/>
  <c r="X47" i="2"/>
  <c r="Y15" i="2"/>
  <c r="Y7" i="2"/>
  <c r="Y47" i="2"/>
  <c r="S17" i="2"/>
  <c r="R16" i="2"/>
  <c r="X14" i="2"/>
  <c r="W13" i="2"/>
  <c r="V12" i="2"/>
  <c r="U11" i="2"/>
  <c r="T10" i="2"/>
  <c r="S9" i="2"/>
  <c r="R8" i="2"/>
  <c r="X6" i="2"/>
  <c r="W5" i="2"/>
  <c r="V4" i="2"/>
  <c r="U3" i="2"/>
  <c r="S34" i="2"/>
  <c r="R33" i="2"/>
  <c r="X31" i="2"/>
  <c r="W30" i="2"/>
  <c r="R25" i="2"/>
  <c r="X23" i="2"/>
  <c r="W22" i="2"/>
  <c r="V21" i="2"/>
  <c r="W47" i="2"/>
  <c r="V46" i="2"/>
  <c r="U45" i="2"/>
  <c r="T44" i="2"/>
  <c r="S43" i="2"/>
  <c r="Y14" i="2"/>
  <c r="Y6" i="2"/>
  <c r="Y46" i="2"/>
  <c r="Y30" i="2"/>
  <c r="Y22" i="2"/>
  <c r="R6" i="2"/>
  <c r="V11" i="2"/>
  <c r="R7" i="2"/>
  <c r="H4" i="2"/>
  <c r="N7" i="2"/>
  <c r="R17" i="2"/>
  <c r="X15" i="2"/>
  <c r="W14" i="2"/>
  <c r="V13" i="2"/>
  <c r="U12" i="2"/>
  <c r="T11" i="2"/>
  <c r="S10" i="2"/>
  <c r="R9" i="2"/>
  <c r="X7" i="2"/>
  <c r="W6" i="2"/>
  <c r="V5" i="2"/>
  <c r="U4" i="2"/>
  <c r="T3" i="2"/>
  <c r="R34" i="2"/>
  <c r="X32" i="2"/>
  <c r="W31" i="2"/>
  <c r="V30" i="2"/>
  <c r="X24" i="2"/>
  <c r="W23" i="2"/>
  <c r="V22" i="2"/>
  <c r="U21" i="2"/>
  <c r="V47" i="2"/>
  <c r="U46" i="2"/>
  <c r="T45" i="2"/>
  <c r="S44" i="2"/>
  <c r="R43" i="2"/>
  <c r="Y13" i="2"/>
  <c r="Y5" i="2"/>
  <c r="Y45" i="2"/>
  <c r="Y21" i="2"/>
  <c r="U44" i="2"/>
  <c r="X16" i="2"/>
  <c r="W15" i="2"/>
  <c r="V14" i="2"/>
  <c r="U13" i="2"/>
  <c r="T12" i="2"/>
  <c r="S11" i="2"/>
  <c r="R10" i="2"/>
  <c r="X8" i="2"/>
  <c r="W7" i="2"/>
  <c r="V6" i="2"/>
  <c r="U5" i="2"/>
  <c r="T4" i="2"/>
  <c r="S3" i="2"/>
  <c r="X33" i="2"/>
  <c r="W32" i="2"/>
  <c r="V31" i="2"/>
  <c r="U30" i="2"/>
  <c r="X25" i="2"/>
  <c r="W24" i="2"/>
  <c r="V23" i="2"/>
  <c r="U22" i="2"/>
  <c r="T21" i="2"/>
  <c r="U47" i="2"/>
  <c r="T46" i="2"/>
  <c r="S45" i="2"/>
  <c r="R44" i="2"/>
  <c r="Y12" i="2"/>
  <c r="Y4" i="2"/>
  <c r="Y44" i="2"/>
  <c r="T43" i="2"/>
  <c r="F34" i="2"/>
  <c r="X17" i="2"/>
  <c r="W16" i="2"/>
  <c r="V15" i="2"/>
  <c r="U14" i="2"/>
  <c r="T13" i="2"/>
  <c r="S12" i="2"/>
  <c r="R11" i="2"/>
  <c r="X9" i="2"/>
  <c r="W8" i="2"/>
  <c r="V7" i="2"/>
  <c r="U6" i="2"/>
  <c r="T5" i="2"/>
  <c r="S4" i="2"/>
  <c r="R3" i="2"/>
  <c r="X34" i="2"/>
  <c r="W33" i="2"/>
  <c r="V32" i="2"/>
  <c r="U31" i="2"/>
  <c r="T30" i="2"/>
  <c r="W25" i="2"/>
  <c r="V24" i="2"/>
  <c r="U23" i="2"/>
  <c r="T22" i="2"/>
  <c r="S21" i="2"/>
  <c r="T47" i="2"/>
  <c r="S46" i="2"/>
  <c r="R45" i="2"/>
  <c r="X43" i="2"/>
  <c r="Y11" i="2"/>
  <c r="Y3" i="2"/>
  <c r="Y43" i="2"/>
  <c r="U34" i="2"/>
  <c r="U10" i="2"/>
  <c r="W17" i="2"/>
  <c r="V16" i="2"/>
  <c r="U15" i="2"/>
  <c r="T14" i="2"/>
  <c r="S13" i="2"/>
  <c r="X10" i="2"/>
  <c r="W9" i="2"/>
  <c r="V8" i="2"/>
  <c r="U7" i="2"/>
  <c r="T6" i="2"/>
  <c r="S5" i="2"/>
  <c r="W34" i="2"/>
  <c r="V33" i="2"/>
  <c r="U32" i="2"/>
  <c r="T31" i="2"/>
  <c r="S30" i="2"/>
  <c r="V25" i="2"/>
  <c r="U24" i="2"/>
  <c r="T23" i="2"/>
  <c r="S22" i="2"/>
  <c r="S47" i="2"/>
  <c r="X44" i="2"/>
  <c r="W43" i="2"/>
  <c r="Y10" i="2"/>
  <c r="Y34" i="2"/>
  <c r="V10" i="2"/>
  <c r="U43" i="2"/>
  <c r="J10" i="2"/>
  <c r="T34" i="2"/>
  <c r="V17" i="2"/>
  <c r="V9" i="2"/>
  <c r="U33" i="2"/>
  <c r="U25" i="2"/>
  <c r="O76" i="2"/>
  <c r="N50" i="2"/>
  <c r="O49" i="2"/>
  <c r="J49" i="2"/>
  <c r="J27" i="2"/>
  <c r="Q50" i="2"/>
  <c r="P50" i="2"/>
  <c r="F49" i="2"/>
  <c r="O47" i="2"/>
  <c r="M48" i="2"/>
  <c r="K48" i="2"/>
  <c r="M50" i="2"/>
  <c r="L48" i="2"/>
  <c r="F45" i="2"/>
  <c r="L50" i="2"/>
  <c r="H50" i="2"/>
  <c r="I49" i="2"/>
  <c r="J48" i="2"/>
  <c r="F50" i="2"/>
  <c r="H49" i="2"/>
  <c r="F48" i="2"/>
  <c r="F44" i="2"/>
  <c r="P49" i="2"/>
  <c r="O48" i="2"/>
  <c r="H47" i="2"/>
  <c r="F46" i="2"/>
  <c r="N48" i="2"/>
  <c r="I47" i="2"/>
  <c r="F47" i="2"/>
  <c r="L49" i="2"/>
  <c r="H48" i="2"/>
  <c r="L55" i="2"/>
  <c r="O54" i="2"/>
  <c r="F54" i="2"/>
  <c r="J53" i="2"/>
  <c r="M52" i="2"/>
  <c r="P51" i="2"/>
  <c r="H51" i="2"/>
  <c r="K50" i="2"/>
  <c r="N49" i="2"/>
  <c r="Q48" i="2"/>
  <c r="I48" i="2"/>
  <c r="F41" i="2"/>
  <c r="K55" i="2"/>
  <c r="N54" i="2"/>
  <c r="Q53" i="2"/>
  <c r="I53" i="2"/>
  <c r="L52" i="2"/>
  <c r="O51" i="2"/>
  <c r="F51" i="2"/>
  <c r="J50" i="2"/>
  <c r="M49" i="2"/>
  <c r="P48" i="2"/>
  <c r="K43" i="2"/>
  <c r="P47" i="2"/>
  <c r="F43" i="2"/>
  <c r="M43" i="2"/>
  <c r="M47" i="2"/>
  <c r="N47" i="2"/>
  <c r="L47" i="2"/>
  <c r="K47" i="2"/>
  <c r="J47" i="2"/>
  <c r="Q47" i="2"/>
  <c r="F8" i="2"/>
  <c r="O5" i="2"/>
  <c r="M7" i="2"/>
  <c r="O9" i="2"/>
  <c r="M12" i="2"/>
  <c r="M29" i="2"/>
  <c r="Q35" i="2"/>
  <c r="Q44" i="2"/>
  <c r="J43" i="2"/>
  <c r="F5" i="2"/>
  <c r="K5" i="2"/>
  <c r="J7" i="2"/>
  <c r="N9" i="2"/>
  <c r="I15" i="2"/>
  <c r="K36" i="2"/>
  <c r="H44" i="2"/>
  <c r="I43" i="2"/>
  <c r="K2" i="2"/>
  <c r="J5" i="2"/>
  <c r="P8" i="2"/>
  <c r="L9" i="2"/>
  <c r="K16" i="2"/>
  <c r="Q31" i="2"/>
  <c r="N38" i="2"/>
  <c r="Q43" i="2"/>
  <c r="H43" i="2"/>
  <c r="H3" i="2"/>
  <c r="Q6" i="2"/>
  <c r="O8" i="2"/>
  <c r="K9" i="2"/>
  <c r="L22" i="2"/>
  <c r="F31" i="2"/>
  <c r="M38" i="2"/>
  <c r="P43" i="2"/>
  <c r="Q4" i="2"/>
  <c r="L6" i="2"/>
  <c r="L8" i="2"/>
  <c r="J9" i="2"/>
  <c r="N23" i="2"/>
  <c r="J32" i="2"/>
  <c r="J39" i="2"/>
  <c r="O43" i="2"/>
  <c r="I45" i="2"/>
  <c r="F26" i="2"/>
  <c r="N4" i="2"/>
  <c r="K6" i="2"/>
  <c r="H8" i="2"/>
  <c r="I9" i="2"/>
  <c r="P24" i="2"/>
  <c r="P34" i="2"/>
  <c r="L40" i="2"/>
  <c r="N43" i="2"/>
  <c r="L43" i="2"/>
  <c r="F10" i="2"/>
  <c r="I4" i="2"/>
  <c r="H6" i="2"/>
  <c r="Q9" i="2"/>
  <c r="H9" i="2"/>
  <c r="I26" i="2"/>
  <c r="O34" i="2"/>
  <c r="K41" i="2"/>
  <c r="M9" i="2"/>
  <c r="O10" i="2"/>
  <c r="F7" i="2"/>
  <c r="P4" i="2"/>
  <c r="Q5" i="2"/>
  <c r="I5" i="2"/>
  <c r="J6" i="2"/>
  <c r="L7" i="2"/>
  <c r="N8" i="2"/>
  <c r="L17" i="2"/>
  <c r="N30" i="2"/>
  <c r="M34" i="2"/>
  <c r="I35" i="2"/>
  <c r="L38" i="2"/>
  <c r="Q41" i="2"/>
  <c r="I41" i="2"/>
  <c r="P44" i="2"/>
  <c r="F6" i="2"/>
  <c r="O4" i="2"/>
  <c r="P5" i="2"/>
  <c r="H5" i="2"/>
  <c r="I6" i="2"/>
  <c r="K7" i="2"/>
  <c r="M8" i="2"/>
  <c r="K11" i="2"/>
  <c r="N18" i="2"/>
  <c r="Q25" i="2"/>
  <c r="L34" i="2"/>
  <c r="K38" i="2"/>
  <c r="P41" i="2"/>
  <c r="H41" i="2"/>
  <c r="O44" i="2"/>
  <c r="O19" i="2"/>
  <c r="H25" i="2"/>
  <c r="K34" i="2"/>
  <c r="N37" i="2"/>
  <c r="J38" i="2"/>
  <c r="O41" i="2"/>
  <c r="N44" i="2"/>
  <c r="F4" i="2"/>
  <c r="L4" i="2"/>
  <c r="N5" i="2"/>
  <c r="P6" i="2"/>
  <c r="Q7" i="2"/>
  <c r="I7" i="2"/>
  <c r="K8" i="2"/>
  <c r="O13" i="2"/>
  <c r="Q20" i="2"/>
  <c r="J34" i="2"/>
  <c r="Q38" i="2"/>
  <c r="I38" i="2"/>
  <c r="N41" i="2"/>
  <c r="J42" i="2"/>
  <c r="L44" i="2"/>
  <c r="F18" i="2"/>
  <c r="K4" i="2"/>
  <c r="M5" i="2"/>
  <c r="O6" i="2"/>
  <c r="P7" i="2"/>
  <c r="H7" i="2"/>
  <c r="J8" i="2"/>
  <c r="Q14" i="2"/>
  <c r="I20" i="2"/>
  <c r="L33" i="2"/>
  <c r="I34" i="2"/>
  <c r="P38" i="2"/>
  <c r="H38" i="2"/>
  <c r="M41" i="2"/>
  <c r="M46" i="2"/>
  <c r="K44" i="2"/>
  <c r="P3" i="2"/>
  <c r="J4" i="2"/>
  <c r="L5" i="2"/>
  <c r="M6" i="2"/>
  <c r="O7" i="2"/>
  <c r="Q8" i="2"/>
  <c r="I8" i="2"/>
  <c r="H14" i="2"/>
  <c r="K21" i="2"/>
  <c r="L28" i="2"/>
  <c r="Q34" i="2"/>
  <c r="H34" i="2"/>
  <c r="O38" i="2"/>
  <c r="F38" i="2"/>
  <c r="L41" i="2"/>
  <c r="P45" i="2"/>
  <c r="J44" i="2"/>
  <c r="Q11" i="2"/>
  <c r="H45" i="2"/>
  <c r="I44" i="2"/>
  <c r="M44" i="2"/>
  <c r="N6" i="2"/>
  <c r="F25" i="2"/>
  <c r="L2" i="2"/>
  <c r="I10" i="2"/>
  <c r="J11" i="2"/>
  <c r="L12" i="2"/>
  <c r="N13" i="2"/>
  <c r="P14" i="2"/>
  <c r="Q15" i="2"/>
  <c r="H15" i="2"/>
  <c r="J16" i="2"/>
  <c r="K17" i="2"/>
  <c r="M18" i="2"/>
  <c r="N19" i="2"/>
  <c r="P20" i="2"/>
  <c r="H20" i="2"/>
  <c r="J21" i="2"/>
  <c r="K22" i="2"/>
  <c r="M23" i="2"/>
  <c r="O24" i="2"/>
  <c r="P25" i="2"/>
  <c r="Q26" i="2"/>
  <c r="H26" i="2"/>
  <c r="I27" i="2"/>
  <c r="K28" i="2"/>
  <c r="L29" i="2"/>
  <c r="M30" i="2"/>
  <c r="P31" i="2"/>
  <c r="Q32" i="2"/>
  <c r="I32" i="2"/>
  <c r="K33" i="2"/>
  <c r="P35" i="2"/>
  <c r="H35" i="2"/>
  <c r="J36" i="2"/>
  <c r="M37" i="2"/>
  <c r="I39" i="2"/>
  <c r="K40" i="2"/>
  <c r="Q42" i="2"/>
  <c r="I42" i="2"/>
  <c r="L46" i="2"/>
  <c r="O45" i="2"/>
  <c r="N40" i="2"/>
  <c r="P29" i="2"/>
  <c r="N17" i="2"/>
  <c r="H10" i="2"/>
  <c r="O15" i="2"/>
  <c r="M19" i="2"/>
  <c r="L23" i="2"/>
  <c r="H27" i="2"/>
  <c r="P32" i="2"/>
  <c r="O35" i="2"/>
  <c r="H2" i="2"/>
  <c r="F23" i="2"/>
  <c r="F15" i="2"/>
  <c r="N2" i="2"/>
  <c r="M3" i="2"/>
  <c r="P10" i="2"/>
  <c r="P11" i="2"/>
  <c r="H11" i="2"/>
  <c r="J12" i="2"/>
  <c r="L13" i="2"/>
  <c r="M14" i="2"/>
  <c r="N15" i="2"/>
  <c r="P16" i="2"/>
  <c r="H16" i="2"/>
  <c r="I17" i="2"/>
  <c r="K18" i="2"/>
  <c r="L19" i="2"/>
  <c r="N20" i="2"/>
  <c r="P21" i="2"/>
  <c r="H21" i="2"/>
  <c r="I22" i="2"/>
  <c r="K23" i="2"/>
  <c r="M24" i="2"/>
  <c r="N25" i="2"/>
  <c r="O26" i="2"/>
  <c r="O27" i="2"/>
  <c r="Q28" i="2"/>
  <c r="I28" i="2"/>
  <c r="J29" i="2"/>
  <c r="K30" i="2"/>
  <c r="L31" i="2"/>
  <c r="O32" i="2"/>
  <c r="F32" i="2"/>
  <c r="I33" i="2"/>
  <c r="N35" i="2"/>
  <c r="Q36" i="2"/>
  <c r="H36" i="2"/>
  <c r="J37" i="2"/>
  <c r="P39" i="2"/>
  <c r="F39" i="2"/>
  <c r="I40" i="2"/>
  <c r="O42" i="2"/>
  <c r="J46" i="2"/>
  <c r="M45" i="2"/>
  <c r="F16" i="2"/>
  <c r="K12" i="2"/>
  <c r="Q16" i="2"/>
  <c r="Q21" i="2"/>
  <c r="O25" i="2"/>
  <c r="K29" i="2"/>
  <c r="K37" i="2"/>
  <c r="H39" i="2"/>
  <c r="P42" i="2"/>
  <c r="L36" i="2"/>
  <c r="I2" i="2"/>
  <c r="F22" i="2"/>
  <c r="F14" i="2"/>
  <c r="O2" i="2"/>
  <c r="L3" i="2"/>
  <c r="N10" i="2"/>
  <c r="O11" i="2"/>
  <c r="Q12" i="2"/>
  <c r="I12" i="2"/>
  <c r="K13" i="2"/>
  <c r="L14" i="2"/>
  <c r="M15" i="2"/>
  <c r="O16" i="2"/>
  <c r="Q17" i="2"/>
  <c r="H17" i="2"/>
  <c r="J18" i="2"/>
  <c r="K19" i="2"/>
  <c r="M20" i="2"/>
  <c r="O21" i="2"/>
  <c r="P22" i="2"/>
  <c r="H22" i="2"/>
  <c r="J23" i="2"/>
  <c r="L24" i="2"/>
  <c r="M25" i="2"/>
  <c r="M26" i="2"/>
  <c r="N27" i="2"/>
  <c r="P28" i="2"/>
  <c r="H28" i="2"/>
  <c r="I29" i="2"/>
  <c r="J30" i="2"/>
  <c r="K31" i="2"/>
  <c r="N32" i="2"/>
  <c r="Q33" i="2"/>
  <c r="H33" i="2"/>
  <c r="M35" i="2"/>
  <c r="P36" i="2"/>
  <c r="F36" i="2"/>
  <c r="I37" i="2"/>
  <c r="O39" i="2"/>
  <c r="Q40" i="2"/>
  <c r="H40" i="2"/>
  <c r="N42" i="2"/>
  <c r="Q46" i="2"/>
  <c r="I46" i="2"/>
  <c r="L45" i="2"/>
  <c r="L37" i="2"/>
  <c r="N26" i="2"/>
  <c r="P27" i="2"/>
  <c r="N3" i="2"/>
  <c r="M13" i="2"/>
  <c r="L18" i="2"/>
  <c r="I21" i="2"/>
  <c r="Q27" i="2"/>
  <c r="M31" i="2"/>
  <c r="F35" i="2"/>
  <c r="N45" i="2"/>
  <c r="F29" i="2"/>
  <c r="F21" i="2"/>
  <c r="F13" i="2"/>
  <c r="P2" i="2"/>
  <c r="K3" i="2"/>
  <c r="M10" i="2"/>
  <c r="N11" i="2"/>
  <c r="P12" i="2"/>
  <c r="H12" i="2"/>
  <c r="J13" i="2"/>
  <c r="K14" i="2"/>
  <c r="L15" i="2"/>
  <c r="N16" i="2"/>
  <c r="P17" i="2"/>
  <c r="Q18" i="2"/>
  <c r="I18" i="2"/>
  <c r="J19" i="2"/>
  <c r="L20" i="2"/>
  <c r="N21" i="2"/>
  <c r="O22" i="2"/>
  <c r="Q23" i="2"/>
  <c r="I23" i="2"/>
  <c r="J24" i="2"/>
  <c r="K25" i="2"/>
  <c r="L26" i="2"/>
  <c r="M27" i="2"/>
  <c r="O28" i="2"/>
  <c r="Q29" i="2"/>
  <c r="H29" i="2"/>
  <c r="I30" i="2"/>
  <c r="J31" i="2"/>
  <c r="M32" i="2"/>
  <c r="P33" i="2"/>
  <c r="F33" i="2"/>
  <c r="L35" i="2"/>
  <c r="O36" i="2"/>
  <c r="Q37" i="2"/>
  <c r="H37" i="2"/>
  <c r="N39" i="2"/>
  <c r="P40" i="2"/>
  <c r="F40" i="2"/>
  <c r="M42" i="2"/>
  <c r="P46" i="2"/>
  <c r="H46" i="2"/>
  <c r="K45" i="2"/>
  <c r="P19" i="2"/>
  <c r="K39" i="2"/>
  <c r="F2" i="2"/>
  <c r="F17" i="2"/>
  <c r="F24" i="2"/>
  <c r="Q10" i="2"/>
  <c r="O14" i="2"/>
  <c r="J17" i="2"/>
  <c r="J22" i="2"/>
  <c r="P26" i="2"/>
  <c r="L30" i="2"/>
  <c r="J33" i="2"/>
  <c r="J40" i="2"/>
  <c r="H42" i="2"/>
  <c r="F20" i="2"/>
  <c r="F12" i="2"/>
  <c r="Q2" i="2"/>
  <c r="J3" i="2"/>
  <c r="L10" i="2"/>
  <c r="M11" i="2"/>
  <c r="O12" i="2"/>
  <c r="Q13" i="2"/>
  <c r="I13" i="2"/>
  <c r="J14" i="2"/>
  <c r="K15" i="2"/>
  <c r="M16" i="2"/>
  <c r="O17" i="2"/>
  <c r="P18" i="2"/>
  <c r="H18" i="2"/>
  <c r="I19" i="2"/>
  <c r="K20" i="2"/>
  <c r="M21" i="2"/>
  <c r="N22" i="2"/>
  <c r="P23" i="2"/>
  <c r="H23" i="2"/>
  <c r="I24" i="2"/>
  <c r="J25" i="2"/>
  <c r="K26" i="2"/>
  <c r="L27" i="2"/>
  <c r="N28" i="2"/>
  <c r="O29" i="2"/>
  <c r="H30" i="2"/>
  <c r="I31" i="2"/>
  <c r="L32" i="2"/>
  <c r="O33" i="2"/>
  <c r="K35" i="2"/>
  <c r="N36" i="2"/>
  <c r="P37" i="2"/>
  <c r="F37" i="2"/>
  <c r="M39" i="2"/>
  <c r="O40" i="2"/>
  <c r="L42" i="2"/>
  <c r="O46" i="2"/>
  <c r="J45" i="2"/>
  <c r="Q22" i="2"/>
  <c r="O3" i="2"/>
  <c r="F3" i="2"/>
  <c r="M2" i="2"/>
  <c r="I11" i="2"/>
  <c r="I16" i="2"/>
  <c r="O20" i="2"/>
  <c r="N24" i="2"/>
  <c r="J28" i="2"/>
  <c r="H32" i="2"/>
  <c r="I36" i="2"/>
  <c r="Q39" i="2"/>
  <c r="K46" i="2"/>
  <c r="F28" i="2"/>
  <c r="F27" i="2"/>
  <c r="F19" i="2"/>
  <c r="F11" i="2"/>
  <c r="Q3" i="2"/>
  <c r="I3" i="2"/>
  <c r="K10" i="2"/>
  <c r="L11" i="2"/>
  <c r="N12" i="2"/>
  <c r="P13" i="2"/>
  <c r="H13" i="2"/>
  <c r="I14" i="2"/>
  <c r="J15" i="2"/>
  <c r="L16" i="2"/>
  <c r="M17" i="2"/>
  <c r="O18" i="2"/>
  <c r="Q19" i="2"/>
  <c r="H19" i="2"/>
  <c r="J20" i="2"/>
  <c r="L21" i="2"/>
  <c r="M22" i="2"/>
  <c r="O23" i="2"/>
  <c r="Q24" i="2"/>
  <c r="H24" i="2"/>
  <c r="I25" i="2"/>
  <c r="J26" i="2"/>
  <c r="K27" i="2"/>
  <c r="M28" i="2"/>
  <c r="N29" i="2"/>
  <c r="O30" i="2"/>
  <c r="F30" i="2"/>
  <c r="H31" i="2"/>
  <c r="K32" i="2"/>
  <c r="M33" i="2"/>
  <c r="J35" i="2"/>
  <c r="M36" i="2"/>
  <c r="O37" i="2"/>
  <c r="L39" i="2"/>
  <c r="M40" i="2"/>
  <c r="K42" i="2"/>
  <c r="N46" i="2"/>
  <c r="Q45" i="2"/>
  <c r="N31" i="2"/>
  <c r="P30" i="2"/>
  <c r="L25" i="2"/>
  <c r="K24" i="2"/>
  <c r="N33" i="2"/>
  <c r="N14" i="2"/>
  <c r="P15" i="2"/>
  <c r="O31" i="2"/>
  <c r="Q30" i="2"/>
  <c r="N34" i="2"/>
  <c r="M4" i="2"/>
  <c r="AO19" i="3" l="1"/>
  <c r="M17" i="3"/>
  <c r="M15" i="3"/>
  <c r="M9" i="3"/>
  <c r="M5" i="3"/>
  <c r="M7" i="3"/>
  <c r="M11" i="3"/>
  <c r="M13" i="3"/>
  <c r="E4" i="3"/>
  <c r="D2" i="3"/>
  <c r="D4" i="3"/>
  <c r="AO5" i="3" l="1"/>
  <c r="AK5" i="3"/>
  <c r="Q5" i="3"/>
  <c r="AG5" i="3"/>
  <c r="Y5" i="3"/>
  <c r="U5" i="3"/>
  <c r="AC5" i="3"/>
  <c r="AC7" i="3"/>
  <c r="AG7" i="3"/>
  <c r="Y7" i="3"/>
  <c r="U7" i="3"/>
  <c r="AO7" i="3"/>
  <c r="AK7" i="3"/>
  <c r="Q7" i="3"/>
  <c r="Y9" i="3"/>
  <c r="U9" i="3"/>
  <c r="AC9" i="3"/>
  <c r="AG9" i="3"/>
  <c r="AO9" i="3"/>
  <c r="AK9" i="3"/>
  <c r="Q9" i="3"/>
  <c r="Y17" i="3"/>
  <c r="AC17" i="3"/>
  <c r="AG17" i="3"/>
  <c r="U17" i="3"/>
  <c r="AO17" i="3"/>
  <c r="AK17" i="3"/>
  <c r="Q17" i="3"/>
  <c r="AC15" i="3"/>
  <c r="AG15" i="3"/>
  <c r="AO15" i="3"/>
  <c r="AK15" i="3"/>
  <c r="Q15" i="3"/>
  <c r="Y15" i="3"/>
  <c r="U15" i="3"/>
  <c r="Q11" i="3"/>
  <c r="Y11" i="3"/>
  <c r="U11" i="3"/>
  <c r="AC11" i="3"/>
  <c r="AG11" i="3"/>
  <c r="AO11" i="3"/>
  <c r="AK11" i="3"/>
  <c r="AO13" i="3"/>
  <c r="AK13" i="3"/>
  <c r="Q13" i="3"/>
  <c r="AG13" i="3"/>
  <c r="Y13" i="3"/>
  <c r="U13" i="3"/>
  <c r="AC13" i="3"/>
  <c r="AI19" i="3"/>
  <c r="AH18" i="3" s="1"/>
  <c r="W19" i="3"/>
  <c r="V18" i="3" s="1"/>
  <c r="AA17" i="3"/>
  <c r="AC16" i="3" s="1"/>
  <c r="AI15" i="3"/>
  <c r="AK14" i="3" s="1"/>
  <c r="AI17" i="3"/>
  <c r="AJ16" i="3" s="1"/>
  <c r="AM15" i="3"/>
  <c r="AL14" i="3" s="1"/>
  <c r="AM17" i="3"/>
  <c r="AN16" i="3" s="1"/>
  <c r="AE19" i="3"/>
  <c r="AG18" i="3" s="1"/>
  <c r="AE17" i="3"/>
  <c r="AG16" i="3" s="1"/>
  <c r="AE15" i="3"/>
  <c r="AG14" i="3" s="1"/>
  <c r="AM19" i="3"/>
  <c r="AL18" i="3" s="1"/>
  <c r="S19" i="3"/>
  <c r="T18" i="3" s="1"/>
  <c r="AE13" i="3"/>
  <c r="AF12" i="3" s="1"/>
  <c r="AA15" i="3"/>
  <c r="AC14" i="3" s="1"/>
  <c r="AA19" i="3"/>
  <c r="AC18" i="3" s="1"/>
  <c r="AM13" i="3"/>
  <c r="AO12" i="3" s="1"/>
  <c r="AI13" i="3"/>
  <c r="AK12" i="3" s="1"/>
  <c r="AA13" i="3"/>
  <c r="AC12" i="3" s="1"/>
  <c r="AI7" i="3"/>
  <c r="AK6" i="3" s="1"/>
  <c r="AE7" i="3"/>
  <c r="AG6" i="3" s="1"/>
  <c r="AA7" i="3"/>
  <c r="AC6" i="3" s="1"/>
  <c r="W7" i="3"/>
  <c r="Y6" i="3" s="1"/>
  <c r="AM7" i="3"/>
  <c r="AO6" i="3" s="1"/>
  <c r="S7" i="3"/>
  <c r="U6" i="3" s="1"/>
  <c r="O7" i="3"/>
  <c r="Q6" i="3" s="1"/>
  <c r="O19" i="3"/>
  <c r="Q18" i="3" s="1"/>
  <c r="O15" i="3"/>
  <c r="Q14" i="3" s="1"/>
  <c r="O13" i="3"/>
  <c r="Q12" i="3" s="1"/>
  <c r="W9" i="3"/>
  <c r="Y8" i="3" s="1"/>
  <c r="S9" i="3"/>
  <c r="U8" i="3" s="1"/>
  <c r="AA9" i="3"/>
  <c r="AC8" i="3" s="1"/>
  <c r="AI9" i="3"/>
  <c r="AK8" i="3" s="1"/>
  <c r="O9" i="3"/>
  <c r="Q8" i="3" s="1"/>
  <c r="AM9" i="3"/>
  <c r="AO8" i="3" s="1"/>
  <c r="AE9" i="3"/>
  <c r="AG8" i="3" s="1"/>
  <c r="AM11" i="3"/>
  <c r="AO10" i="3" s="1"/>
  <c r="W11" i="3"/>
  <c r="Y10" i="3" s="1"/>
  <c r="S11" i="3"/>
  <c r="U10" i="3" s="1"/>
  <c r="AI11" i="3"/>
  <c r="AK10" i="3" s="1"/>
  <c r="O11" i="3"/>
  <c r="Q10" i="3" s="1"/>
  <c r="AA11" i="3"/>
  <c r="AC10" i="3" s="1"/>
  <c r="AE11" i="3"/>
  <c r="AG10" i="3" s="1"/>
  <c r="AI5" i="3"/>
  <c r="AK4" i="3" s="1"/>
  <c r="AE5" i="3"/>
  <c r="AG4" i="3" s="1"/>
  <c r="AM5" i="3"/>
  <c r="AO4" i="3" s="1"/>
  <c r="AA5" i="3"/>
  <c r="AC4" i="3" s="1"/>
  <c r="W5" i="3"/>
  <c r="Y4" i="3" s="1"/>
  <c r="S5" i="3"/>
  <c r="U4" i="3" s="1"/>
  <c r="O5" i="3"/>
  <c r="Q4" i="3" s="1"/>
  <c r="S13" i="3"/>
  <c r="U12" i="3" s="1"/>
  <c r="S17" i="3"/>
  <c r="U16" i="3" s="1"/>
  <c r="W17" i="3"/>
  <c r="Y16" i="3" s="1"/>
  <c r="W15" i="3"/>
  <c r="Y14" i="3" s="1"/>
  <c r="W13" i="3"/>
  <c r="Y12" i="3" s="1"/>
  <c r="O17" i="3"/>
  <c r="Q16" i="3" s="1"/>
  <c r="S15" i="3"/>
  <c r="U14" i="3" s="1"/>
  <c r="X18" i="3" l="1"/>
  <c r="AJ14" i="3"/>
  <c r="AO14" i="3"/>
  <c r="Y18" i="3"/>
  <c r="AG12" i="3"/>
  <c r="AK18" i="3"/>
  <c r="AK16" i="3"/>
  <c r="AO18" i="3"/>
  <c r="AO16" i="3"/>
  <c r="U18" i="3"/>
  <c r="AH14" i="3"/>
  <c r="AB16" i="3"/>
  <c r="AL16" i="3"/>
  <c r="AJ18" i="3"/>
  <c r="Z16" i="3"/>
  <c r="AH16" i="3"/>
  <c r="AN14" i="3"/>
  <c r="AN18" i="3"/>
  <c r="R18" i="3"/>
  <c r="AD14" i="3"/>
  <c r="AF14" i="3"/>
  <c r="AF16" i="3"/>
  <c r="AD16" i="3"/>
  <c r="AF18" i="3"/>
  <c r="AD18" i="3"/>
  <c r="AD12" i="3"/>
  <c r="T14" i="3"/>
  <c r="R14" i="3"/>
  <c r="V16" i="3"/>
  <c r="X16" i="3"/>
  <c r="AH12" i="3"/>
  <c r="AJ12" i="3"/>
  <c r="X14" i="3"/>
  <c r="V14" i="3"/>
  <c r="R12" i="3"/>
  <c r="T12" i="3"/>
  <c r="AN12" i="3"/>
  <c r="AL12" i="3"/>
  <c r="N12" i="3"/>
  <c r="P12" i="3"/>
  <c r="AB18" i="3"/>
  <c r="Z18" i="3"/>
  <c r="N16" i="3"/>
  <c r="P16" i="3"/>
  <c r="P14" i="3"/>
  <c r="N14" i="3"/>
  <c r="AB14" i="3"/>
  <c r="Z14" i="3"/>
  <c r="N18" i="3"/>
  <c r="P18" i="3"/>
  <c r="X12" i="3"/>
  <c r="V12" i="3"/>
  <c r="T16" i="3"/>
  <c r="R16" i="3"/>
  <c r="Z12" i="3"/>
  <c r="AB12" i="3"/>
  <c r="AJ10" i="3"/>
  <c r="AH10" i="3"/>
  <c r="R10" i="3"/>
  <c r="T10" i="3"/>
  <c r="AJ6" i="3"/>
  <c r="AH6" i="3"/>
  <c r="AF4" i="3"/>
  <c r="AD4" i="3"/>
  <c r="V10" i="3"/>
  <c r="X10" i="3"/>
  <c r="T8" i="3"/>
  <c r="R8" i="3"/>
  <c r="AJ8" i="3"/>
  <c r="AH8" i="3"/>
  <c r="AH4" i="3"/>
  <c r="AJ4" i="3"/>
  <c r="AL10" i="3"/>
  <c r="AN10" i="3"/>
  <c r="X8" i="3"/>
  <c r="V8" i="3"/>
  <c r="P6" i="3"/>
  <c r="N6" i="3"/>
  <c r="AB8" i="3"/>
  <c r="Z8" i="3"/>
  <c r="AD10" i="3"/>
  <c r="AF10" i="3"/>
  <c r="AF8" i="3"/>
  <c r="AD8" i="3"/>
  <c r="T6" i="3"/>
  <c r="R6" i="3"/>
  <c r="Z4" i="3"/>
  <c r="AB4" i="3"/>
  <c r="AN4" i="3"/>
  <c r="AL4" i="3"/>
  <c r="P4" i="3"/>
  <c r="N4" i="3"/>
  <c r="AB10" i="3"/>
  <c r="Z10" i="3"/>
  <c r="AL8" i="3"/>
  <c r="AN8" i="3"/>
  <c r="AN6" i="3"/>
  <c r="AL6" i="3"/>
  <c r="AD6" i="3"/>
  <c r="AF6" i="3"/>
  <c r="R4" i="3"/>
  <c r="T4" i="3"/>
  <c r="V6" i="3"/>
  <c r="X6" i="3"/>
  <c r="V4" i="3"/>
  <c r="X4" i="3"/>
  <c r="P10" i="3"/>
  <c r="N10" i="3"/>
  <c r="N8" i="3"/>
  <c r="P8" i="3"/>
  <c r="AB6" i="3"/>
  <c r="Z6" i="3"/>
  <c r="K11" i="3"/>
  <c r="M10" i="3" s="1"/>
  <c r="K7" i="3"/>
  <c r="M6" i="3" s="1"/>
  <c r="K13" i="3"/>
  <c r="M12" i="3" s="1"/>
  <c r="K17" i="3"/>
  <c r="M16" i="3" s="1"/>
  <c r="K15" i="3"/>
  <c r="M14" i="3" s="1"/>
  <c r="K19" i="3"/>
  <c r="M18" i="3" s="1"/>
  <c r="K5" i="3"/>
  <c r="J4" i="3" s="1"/>
  <c r="K9" i="3"/>
  <c r="M8" i="3" s="1"/>
  <c r="M4" i="3" l="1"/>
  <c r="J8" i="3"/>
  <c r="L16" i="3"/>
  <c r="L4" i="3"/>
  <c r="L12" i="3"/>
  <c r="J10" i="3"/>
  <c r="L18" i="3"/>
  <c r="J14" i="3"/>
  <c r="L8" i="3"/>
  <c r="J12" i="3"/>
  <c r="L14" i="3"/>
  <c r="J18" i="3"/>
  <c r="J16" i="3"/>
  <c r="L10" i="3"/>
  <c r="L6" i="3"/>
  <c r="J6" i="3"/>
</calcChain>
</file>

<file path=xl/sharedStrings.xml><?xml version="1.0" encoding="utf-8"?>
<sst xmlns="http://schemas.openxmlformats.org/spreadsheetml/2006/main" count="975" uniqueCount="143">
  <si>
    <t>RR-yy-ss</t>
  </si>
  <si>
    <t>rr-YY-Ss</t>
  </si>
  <si>
    <t>rr-yy-ss</t>
  </si>
  <si>
    <t>Rys</t>
  </si>
  <si>
    <t>rYS</t>
  </si>
  <si>
    <t>rYs</t>
  </si>
  <si>
    <t>Rr-Yy-Ss</t>
  </si>
  <si>
    <t>Rr-Yy-ss</t>
  </si>
  <si>
    <t>rr-yy-Ss</t>
  </si>
  <si>
    <t>ryS</t>
  </si>
  <si>
    <t>rys</t>
  </si>
  <si>
    <t>Rr-yy-Ss</t>
  </si>
  <si>
    <t>Rr-yy-ss</t>
  </si>
  <si>
    <t>RR-yy-Ss</t>
  </si>
  <si>
    <t>RR-yy-SS</t>
  </si>
  <si>
    <t>rr-yy-SS</t>
  </si>
  <si>
    <t>Pink 1</t>
  </si>
  <si>
    <t>Pink 2</t>
  </si>
  <si>
    <t>Orange 1</t>
  </si>
  <si>
    <t>Orange 2</t>
  </si>
  <si>
    <t>rr-YY-ss</t>
  </si>
  <si>
    <t>rr-YY-SS</t>
  </si>
  <si>
    <t>rr-Yy-Ss</t>
  </si>
  <si>
    <t>RR-Yy-Ss</t>
  </si>
  <si>
    <t>RR-Yy-ss</t>
  </si>
  <si>
    <t>RYS</t>
  </si>
  <si>
    <t>RR-YY-SS</t>
  </si>
  <si>
    <t>Rr-YY-SS</t>
  </si>
  <si>
    <t>Rr-Yy-SS</t>
  </si>
  <si>
    <t>S</t>
  </si>
  <si>
    <t>RY</t>
  </si>
  <si>
    <t>RS</t>
  </si>
  <si>
    <t>R</t>
  </si>
  <si>
    <t>YS</t>
  </si>
  <si>
    <t>Y</t>
  </si>
  <si>
    <t>Rr-YY-Ss</t>
  </si>
  <si>
    <t>Rr-yy-SS</t>
  </si>
  <si>
    <t>Rr-YY-ss</t>
  </si>
  <si>
    <t>rr-Yy-ss</t>
  </si>
  <si>
    <t>rr-Yy-SS</t>
  </si>
  <si>
    <t>White 2</t>
  </si>
  <si>
    <t>White 3</t>
  </si>
  <si>
    <t>Yellow 2</t>
  </si>
  <si>
    <t>Yellow 3</t>
  </si>
  <si>
    <t>RR-YY-Ss</t>
  </si>
  <si>
    <t>RR-YY-ss</t>
  </si>
  <si>
    <t>Black 1</t>
  </si>
  <si>
    <t>Black 2</t>
  </si>
  <si>
    <t>RR-Yy-SS</t>
  </si>
  <si>
    <t>RyS</t>
  </si>
  <si>
    <t>RYs</t>
  </si>
  <si>
    <t>Alleles</t>
  </si>
  <si>
    <t>White 4</t>
  </si>
  <si>
    <t>Yellow 5</t>
  </si>
  <si>
    <t>Yellow 4</t>
  </si>
  <si>
    <t>Pink 3</t>
  </si>
  <si>
    <t>Pink 4</t>
  </si>
  <si>
    <t>Red 4</t>
  </si>
  <si>
    <t>Red 3</t>
  </si>
  <si>
    <t>Red 5</t>
  </si>
  <si>
    <t>Orange 8</t>
  </si>
  <si>
    <t>Orange 5</t>
  </si>
  <si>
    <t>Orange 4</t>
  </si>
  <si>
    <t>Orange 3</t>
  </si>
  <si>
    <t>Phenotype</t>
  </si>
  <si>
    <t>Orange 7</t>
  </si>
  <si>
    <t>Flower</t>
  </si>
  <si>
    <t>Genotype</t>
  </si>
  <si>
    <t>Cosmos</t>
  </si>
  <si>
    <t xml:space="preserve">rys </t>
  </si>
  <si>
    <t>Variation</t>
  </si>
  <si>
    <t>total alleles</t>
  </si>
  <si>
    <t>-</t>
  </si>
  <si>
    <t>Orange 6</t>
  </si>
  <si>
    <t>Name</t>
  </si>
  <si>
    <t>Parent 1</t>
  </si>
  <si>
    <t>Parent 2</t>
  </si>
  <si>
    <t>Red Seed</t>
  </si>
  <si>
    <t>Lilies</t>
  </si>
  <si>
    <t>Mums</t>
  </si>
  <si>
    <t>Pansies</t>
  </si>
  <si>
    <t>Windflowers</t>
  </si>
  <si>
    <t>Hyacinths</t>
  </si>
  <si>
    <t>Tulips</t>
  </si>
  <si>
    <t>Yellow Seed</t>
  </si>
  <si>
    <t>White Seed</t>
  </si>
  <si>
    <t>Total Alleles</t>
  </si>
  <si>
    <t>Red 2</t>
  </si>
  <si>
    <t>White 5</t>
  </si>
  <si>
    <t>White 6</t>
  </si>
  <si>
    <t>White 7</t>
  </si>
  <si>
    <t>White 8</t>
  </si>
  <si>
    <t>Yellow 6</t>
  </si>
  <si>
    <t>Yellow 7</t>
  </si>
  <si>
    <t>Red</t>
  </si>
  <si>
    <t>Yellow</t>
  </si>
  <si>
    <t>White</t>
  </si>
  <si>
    <t>Orange</t>
  </si>
  <si>
    <t>Pink</t>
  </si>
  <si>
    <t>Black</t>
  </si>
  <si>
    <t>Trinary</t>
  </si>
  <si>
    <t xml:space="preserve">Trinary </t>
  </si>
  <si>
    <t>Allele Addition Table</t>
  </si>
  <si>
    <t>Blue 1</t>
  </si>
  <si>
    <t>Blue 2</t>
  </si>
  <si>
    <t>Blue 3</t>
  </si>
  <si>
    <t>Purple 1</t>
  </si>
  <si>
    <t>Purple 2</t>
  </si>
  <si>
    <t>Purple 3</t>
  </si>
  <si>
    <t>Red 6</t>
  </si>
  <si>
    <t>Yellow 8</t>
  </si>
  <si>
    <t>Blue</t>
  </si>
  <si>
    <t>Purple</t>
  </si>
  <si>
    <t>Yellow 9</t>
  </si>
  <si>
    <t>Green 1</t>
  </si>
  <si>
    <t>Green 2</t>
  </si>
  <si>
    <t>Purple 4</t>
  </si>
  <si>
    <t>Purple 5</t>
  </si>
  <si>
    <t>Purple 6</t>
  </si>
  <si>
    <t>Orange Seed</t>
  </si>
  <si>
    <t>Pink 5</t>
  </si>
  <si>
    <t>Allele values</t>
  </si>
  <si>
    <t>Allele 1 Number</t>
  </si>
  <si>
    <t>Allele 2 Number</t>
  </si>
  <si>
    <t>Allele 1</t>
  </si>
  <si>
    <t>Allele 2</t>
  </si>
  <si>
    <t>Allele 3</t>
  </si>
  <si>
    <t>Allele 4</t>
  </si>
  <si>
    <t>Allele 5</t>
  </si>
  <si>
    <t>Allele 3 Number</t>
  </si>
  <si>
    <t>Allele 4 Number</t>
  </si>
  <si>
    <t>Allele 5 Number</t>
  </si>
  <si>
    <t>Allele 6</t>
  </si>
  <si>
    <t>Allele 6 Number</t>
  </si>
  <si>
    <t>Allele 7</t>
  </si>
  <si>
    <t>Allele 7 Number</t>
  </si>
  <si>
    <t>Allele 8</t>
  </si>
  <si>
    <t>Allele 8 Number</t>
  </si>
  <si>
    <t>X</t>
  </si>
  <si>
    <t>Flower Code</t>
  </si>
  <si>
    <t>Green</t>
  </si>
  <si>
    <t>Seed</t>
  </si>
  <si>
    <t>Genotype identifier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</si>
</sst>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1" applyNumberFormat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6" fillId="0" borderId="0" xfId="0" applyFont="1"/>
    <xf numFmtId="0" fontId="0" fillId="0" borderId="0" xfId="0" applyFill="1" applyAlignment="1">
      <alignment horizontal="center"/>
    </xf>
    <xf numFmtId="0" fontId="3" fillId="3" borderId="1" xfId="2"/>
    <xf numFmtId="0" fontId="5" fillId="0" borderId="0" xfId="0" applyFont="1"/>
    <xf numFmtId="0" fontId="5" fillId="0" borderId="2" xfId="0" applyFont="1" applyBorder="1"/>
    <xf numFmtId="0" fontId="0" fillId="0" borderId="0" xfId="0" applyAlignment="1">
      <alignment horizontal="center" vertical="center"/>
    </xf>
    <xf numFmtId="0" fontId="0" fillId="0" borderId="2" xfId="0" applyBorder="1"/>
    <xf numFmtId="0" fontId="5" fillId="0" borderId="3" xfId="0" applyFont="1" applyBorder="1"/>
    <xf numFmtId="0" fontId="0" fillId="0" borderId="0" xfId="0" applyFont="1" applyFill="1" applyBorder="1"/>
    <xf numFmtId="49" fontId="0" fillId="0" borderId="3" xfId="0" applyNumberFormat="1" applyBorder="1" applyAlignment="1">
      <alignment horizontal="center"/>
    </xf>
    <xf numFmtId="49" fontId="0" fillId="0" borderId="0" xfId="0" applyNumberFormat="1"/>
    <xf numFmtId="0" fontId="5" fillId="0" borderId="7" xfId="0" applyFont="1" applyBorder="1" applyAlignment="1">
      <alignment horizontal="center" vertical="center" textRotation="90"/>
    </xf>
    <xf numFmtId="0" fontId="5" fillId="0" borderId="8" xfId="0" applyFont="1" applyBorder="1" applyAlignment="1">
      <alignment horizontal="center" vertical="center" textRotation="90"/>
    </xf>
    <xf numFmtId="0" fontId="4" fillId="4" borderId="1" xfId="3"/>
    <xf numFmtId="0" fontId="6" fillId="0" borderId="0" xfId="0" applyFont="1" applyBorder="1"/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4" borderId="12" xfId="3" applyFont="1" applyBorder="1"/>
    <xf numFmtId="0" fontId="7" fillId="4" borderId="13" xfId="3" applyFont="1" applyBorder="1"/>
    <xf numFmtId="0" fontId="4" fillId="4" borderId="10" xfId="3" applyBorder="1"/>
    <xf numFmtId="0" fontId="3" fillId="3" borderId="14" xfId="2" applyBorder="1"/>
    <xf numFmtId="0" fontId="5" fillId="0" borderId="0" xfId="0" applyFont="1" applyBorder="1"/>
    <xf numFmtId="0" fontId="2" fillId="2" borderId="9" xfId="1" applyBorder="1"/>
    <xf numFmtId="0" fontId="2" fillId="2" borderId="11" xfId="1" applyBorder="1"/>
    <xf numFmtId="0" fontId="3" fillId="3" borderId="15" xfId="2" applyBorder="1"/>
    <xf numFmtId="0" fontId="4" fillId="4" borderId="1" xfId="3" applyAlignment="1">
      <alignment horizontal="center"/>
    </xf>
    <xf numFmtId="0" fontId="4" fillId="4" borderId="1" xfId="3" applyAlignment="1">
      <alignment horizontal="center" vertical="center"/>
    </xf>
    <xf numFmtId="49" fontId="4" fillId="4" borderId="16" xfId="3" applyNumberFormat="1" applyBorder="1"/>
    <xf numFmtId="49" fontId="4" fillId="4" borderId="1" xfId="3" applyNumberFormat="1"/>
    <xf numFmtId="0" fontId="7" fillId="4" borderId="9" xfId="3" applyNumberFormat="1" applyFont="1" applyBorder="1"/>
    <xf numFmtId="0" fontId="7" fillId="4" borderId="10" xfId="3" applyNumberFormat="1" applyFont="1" applyBorder="1"/>
    <xf numFmtId="0" fontId="7" fillId="4" borderId="11" xfId="3" applyNumberFormat="1" applyFont="1" applyBorder="1"/>
    <xf numFmtId="0" fontId="7" fillId="5" borderId="4" xfId="3" applyFont="1" applyFill="1" applyBorder="1"/>
    <xf numFmtId="0" fontId="7" fillId="5" borderId="5" xfId="3" applyFont="1" applyFill="1" applyBorder="1"/>
    <xf numFmtId="0" fontId="7" fillId="5" borderId="6" xfId="3" applyFont="1" applyFill="1" applyBorder="1"/>
    <xf numFmtId="0" fontId="0" fillId="0" borderId="17" xfId="0" applyBorder="1"/>
    <xf numFmtId="0" fontId="7" fillId="5" borderId="12" xfId="3" applyFont="1" applyFill="1" applyBorder="1"/>
    <xf numFmtId="0" fontId="7" fillId="4" borderId="18" xfId="3" applyFont="1" applyBorder="1"/>
    <xf numFmtId="0" fontId="4" fillId="4" borderId="1" xfId="3" applyAlignment="1">
      <alignment horizontal="left" vertical="center"/>
    </xf>
  </cellXfs>
  <cellStyles count="4">
    <cellStyle name="Calculation" xfId="3" builtinId="22"/>
    <cellStyle name="Good" xfId="1" builtinId="26"/>
    <cellStyle name="Input" xfId="2" builtinId="20"/>
    <cellStyle name="Normal" xfId="0" builtinId="0"/>
  </cellStyles>
  <dxfs count="64"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9933FF"/>
      <color rgb="FFFF66FF"/>
      <color rgb="FF6600FF"/>
      <color rgb="FFCC00FF"/>
      <color rgb="FFFFCCFF"/>
      <color rgb="FFFFCC66"/>
      <color rgb="FFFF9900"/>
      <color rgb="FFFF99FF"/>
      <color rgb="FFFFCC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7</xdr:row>
          <xdr:rowOff>38100</xdr:rowOff>
        </xdr:from>
        <xdr:to>
          <xdr:col>2</xdr:col>
          <xdr:colOff>714375</xdr:colOff>
          <xdr:row>11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DCB3C022-B2B2-4AD8-B4AB-36FCD7D05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Flower Change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F79B4-B76F-406B-A216-A2488B9F2FB5}">
  <dimension ref="A1:AO20"/>
  <sheetViews>
    <sheetView tabSelected="1" workbookViewId="0">
      <selection activeCell="E16" sqref="E16"/>
    </sheetView>
  </sheetViews>
  <sheetFormatPr defaultRowHeight="15" x14ac:dyDescent="0.25"/>
  <cols>
    <col min="1" max="1" width="11.85546875" bestFit="1" customWidth="1"/>
    <col min="2" max="2" width="9.7109375" bestFit="1" customWidth="1"/>
    <col min="3" max="3" width="12" bestFit="1" customWidth="1"/>
    <col min="7" max="7" width="12.7109375" customWidth="1"/>
    <col min="8" max="8" width="3.7109375" bestFit="1" customWidth="1"/>
    <col min="10" max="10" width="9.140625" style="3"/>
    <col min="11" max="11" width="9.140625" style="3" hidden="1" customWidth="1"/>
    <col min="12" max="12" width="9.140625" style="3" customWidth="1"/>
    <col min="13" max="13" width="5.42578125" style="3" bestFit="1" customWidth="1"/>
    <col min="14" max="14" width="9.140625" style="3"/>
    <col min="15" max="15" width="9.140625" style="3" hidden="1" customWidth="1"/>
    <col min="16" max="16" width="7.42578125" style="3" bestFit="1" customWidth="1"/>
    <col min="17" max="17" width="5.42578125" style="3" bestFit="1" customWidth="1"/>
    <col min="18" max="18" width="9.140625" style="3"/>
    <col min="19" max="19" width="9.140625" style="3" hidden="1" customWidth="1"/>
    <col min="20" max="20" width="7.42578125" style="3" bestFit="1" customWidth="1"/>
    <col min="21" max="21" width="5.42578125" style="3" bestFit="1" customWidth="1"/>
    <col min="22" max="22" width="9.140625" style="3"/>
    <col min="23" max="23" width="9.140625" style="3" hidden="1" customWidth="1"/>
    <col min="24" max="24" width="7.42578125" style="3" bestFit="1" customWidth="1"/>
    <col min="25" max="25" width="5.42578125" style="3" bestFit="1" customWidth="1"/>
    <col min="26" max="26" width="9.140625" style="3"/>
    <col min="27" max="27" width="9.140625" style="3" hidden="1" customWidth="1"/>
    <col min="28" max="28" width="7.42578125" style="3" bestFit="1" customWidth="1"/>
    <col min="29" max="29" width="5.42578125" style="3" bestFit="1" customWidth="1"/>
    <col min="30" max="30" width="8.28515625" style="3" bestFit="1" customWidth="1"/>
    <col min="31" max="31" width="9.140625" style="3" hidden="1" customWidth="1"/>
    <col min="32" max="32" width="7.42578125" style="3" bestFit="1" customWidth="1"/>
    <col min="33" max="33" width="5.42578125" style="3" bestFit="1" customWidth="1"/>
    <col min="34" max="34" width="8.28515625" style="3" bestFit="1" customWidth="1"/>
    <col min="35" max="35" width="5.5703125" style="3" hidden="1" customWidth="1"/>
    <col min="36" max="36" width="7.42578125" style="3" bestFit="1" customWidth="1"/>
    <col min="37" max="37" width="5.42578125" style="3" bestFit="1" customWidth="1"/>
    <col min="38" max="38" width="8.140625" style="3" bestFit="1" customWidth="1"/>
    <col min="39" max="39" width="5.5703125" style="3" hidden="1" customWidth="1"/>
    <col min="40" max="40" width="7.42578125" style="3" bestFit="1" customWidth="1"/>
    <col min="41" max="41" width="5.42578125" style="3" bestFit="1" customWidth="1"/>
  </cols>
  <sheetData>
    <row r="1" spans="1:41" ht="15.75" thickBot="1" x14ac:dyDescent="0.3">
      <c r="A1" s="6" t="s">
        <v>66</v>
      </c>
      <c r="C1" s="7" t="s">
        <v>75</v>
      </c>
      <c r="D1" s="25" t="s">
        <v>67</v>
      </c>
      <c r="E1" s="25" t="s">
        <v>86</v>
      </c>
    </row>
    <row r="2" spans="1:41" ht="15.75" thickBot="1" x14ac:dyDescent="0.3">
      <c r="A2" s="5" t="s">
        <v>81</v>
      </c>
      <c r="C2" s="24" t="s">
        <v>104</v>
      </c>
      <c r="D2" s="26" t="str">
        <f>VLOOKUP($A$2&amp;$C$2,Data!C:F,4,FALSE)</f>
        <v>rr-Yy-SS</v>
      </c>
      <c r="E2" s="27">
        <f>VLOOKUP($A$2&amp;$C$2,Data!C:I,7,FALSE)</f>
        <v>2</v>
      </c>
      <c r="J2" s="18" t="s">
        <v>75</v>
      </c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20"/>
    </row>
    <row r="3" spans="1:41" ht="15.75" thickBot="1" x14ac:dyDescent="0.3">
      <c r="C3" s="6" t="s">
        <v>76</v>
      </c>
      <c r="D3" s="25" t="s">
        <v>67</v>
      </c>
      <c r="E3" s="25" t="s">
        <v>86</v>
      </c>
      <c r="J3" s="33" t="str">
        <f>IF(VLOOKUP(Calculator!$A$2,Data!$A:$Y,1,FALSE)=Calculator!$A$2, VLOOKUP($A$2&amp;$C$2,Data!$C:$Y,8,FALSE),"I am Error")</f>
        <v>rYS</v>
      </c>
      <c r="K3" s="34">
        <f>IF(VLOOKUP(Calculator!$A$2,Data!$A:$Y,1,FALSE)=Calculator!$A$2, VLOOKUP($A$2&amp;$C$2,Data!$C:$Y,9,FALSE),"I am Error")</f>
        <v>122</v>
      </c>
      <c r="L3" s="34"/>
      <c r="M3" s="35"/>
      <c r="N3" s="33" t="str">
        <f>IF(VLOOKUP(Calculator!$A$2,Data!$A:$Y,1,FALSE)=Calculator!$A$2, VLOOKUP($A$2&amp;$C$2,Data!$C:$Y,10,FALSE),"I am Error")</f>
        <v>ryS</v>
      </c>
      <c r="O3" s="34">
        <f>IF(VLOOKUP(Calculator!$A$2,Data!$A:$Y,1,FALSE)=Calculator!$A$2, VLOOKUP($A$2&amp;$C$2,Data!$C:$Y,11,FALSE),"I am Error")</f>
        <v>112</v>
      </c>
      <c r="P3" s="34"/>
      <c r="Q3" s="35"/>
      <c r="R3" s="33" t="str">
        <f>IF(VLOOKUP(Calculator!$A$2,Data!$A:$Y,1,FALSE)=Calculator!$A$2, VLOOKUP($A$2&amp;$C$2,Data!$C:$Y,12,FALSE),"I am Error")</f>
        <v>-</v>
      </c>
      <c r="S3" s="34" t="str">
        <f>IF(VLOOKUP(Calculator!$A$2,Data!$A:$Y,1,FALSE)=Calculator!$A$2, VLOOKUP($A$2&amp;$C$2,Data!$C:$Y,13,FALSE),"I am Error")</f>
        <v>-</v>
      </c>
      <c r="T3" s="34"/>
      <c r="U3" s="35"/>
      <c r="V3" s="33" t="str">
        <f>IF(VLOOKUP(Calculator!$A$2,Data!$A:$Y,1,FALSE)=Calculator!$A$2, VLOOKUP($A$2&amp;$C$2,Data!$C:$Y,14,FALSE),"I am Error")</f>
        <v>-</v>
      </c>
      <c r="W3" s="34" t="str">
        <f>IF(VLOOKUP(Calculator!$A$2,Data!$A:$Y,1,FALSE)=Calculator!$A$2, VLOOKUP($A$2&amp;$C$2,Data!$C:$Y,15,FALSE),"I am Error")</f>
        <v>-</v>
      </c>
      <c r="X3" s="34"/>
      <c r="Y3" s="35"/>
      <c r="Z3" s="33" t="str">
        <f>IF(VLOOKUP(Calculator!$A$2,Data!$A:$Y,1,FALSE)=Calculator!$A$2, VLOOKUP($A$2&amp;$C$2,Data!$C:$Y,16,FALSE),"I am Error")</f>
        <v>-</v>
      </c>
      <c r="AA3" s="34" t="str">
        <f>IF(VLOOKUP(Calculator!$A$2,Data!$A:$Y,1,FALSE)=Calculator!$A$2, VLOOKUP($A$2&amp;$C$2,Data!$C:$Y,17,FALSE),"I am Error")</f>
        <v>-</v>
      </c>
      <c r="AB3" s="34"/>
      <c r="AC3" s="35"/>
      <c r="AD3" s="33" t="str">
        <f>IF(VLOOKUP(Calculator!$A$2,Data!$A:$Y,1,FALSE)=Calculator!$A$2, VLOOKUP($A$2&amp;$C$2,Data!$C:$Y,18,FALSE),"I am Error")</f>
        <v>-</v>
      </c>
      <c r="AE3" s="34" t="str">
        <f>IF(VLOOKUP(Calculator!$A$2,Data!$A:$Y,1,FALSE)=Calculator!$A$2, VLOOKUP($A$2&amp;$C$2,Data!$C:$Y,19,FALSE),"I am Error")</f>
        <v>-</v>
      </c>
      <c r="AF3" s="34"/>
      <c r="AG3" s="35"/>
      <c r="AH3" s="33" t="str">
        <f>IF(VLOOKUP(Calculator!$A$2,Data!$A:$Y,1,FALSE)=Calculator!$A$2, VLOOKUP($A$2&amp;$C$2,Data!$C:$Y,20,FALSE),"I am Error")</f>
        <v>-</v>
      </c>
      <c r="AI3" s="34" t="str">
        <f>IF(VLOOKUP(Calculator!$A$2,Data!$A:$Y,1,FALSE)=Calculator!$A$2, VLOOKUP($A$2&amp;$C$2,Data!$C:$Y,21,FALSE),"I am Error")</f>
        <v>-</v>
      </c>
      <c r="AJ3" s="34"/>
      <c r="AK3" s="35"/>
      <c r="AL3" s="33" t="str">
        <f>IF(VLOOKUP(Calculator!$A$2,Data!$A:$Y,1,FALSE)=Calculator!$A$2, VLOOKUP($A$2&amp;$C$2,Data!$C:$Y,22,FALSE),"I am Error")</f>
        <v>-</v>
      </c>
      <c r="AM3" s="34" t="str">
        <f>IF(VLOOKUP(Calculator!$A$2,Data!$A:$Y,1,FALSE)=Calculator!$A$2, VLOOKUP($A$2&amp;$C$2,Data!$C:$Y,23,FALSE),"I am Error")</f>
        <v>-</v>
      </c>
      <c r="AN3" s="34"/>
      <c r="AO3" s="35"/>
    </row>
    <row r="4" spans="1:41" ht="15" customHeight="1" thickBot="1" x14ac:dyDescent="0.3">
      <c r="C4" s="28" t="s">
        <v>61</v>
      </c>
      <c r="D4" s="26" t="str">
        <f>VLOOKUP($A$2&amp;$C$4,Data!C:F,4,FALSE)</f>
        <v>rr-YY-SS</v>
      </c>
      <c r="E4" s="27">
        <f>VLOOKUP($A$2&amp;$C$4,Data!C:I,7,FALSE)</f>
        <v>1</v>
      </c>
      <c r="H4" s="14" t="s">
        <v>76</v>
      </c>
      <c r="I4" s="23" t="str">
        <f>IF(VLOOKUP(Calculator!$A$2,Data!$A:$Y,1,FALSE)=Calculator!$A$2, VLOOKUP($A$2&amp;$C$4,Data!$C:$Y,8,FALSE),"I am Error")</f>
        <v>rYS</v>
      </c>
      <c r="J4" s="22" t="str">
        <f>IF(OR($I4="-",J$3="-"),"",VLOOKUP($A$2&amp;K5,Data!E:G,2,FALSE))</f>
        <v>rr-YY-SS</v>
      </c>
      <c r="K4" s="40"/>
      <c r="L4" s="21" t="str">
        <f>IF(OR($I4="-",J$3="-"),"",VLOOKUP($A$2&amp;K5,Data!E:G,3,FALSE))</f>
        <v>Orange</v>
      </c>
      <c r="M4" s="41" t="str">
        <f>IF(OR($I4="-",J$3="-"),"",VLOOKUP($A$2&amp;K5,Data!$E:$Z,22,FALSE))</f>
        <v>5</v>
      </c>
      <c r="N4" s="22" t="str">
        <f>IF(OR($I4="-",N$3="-"),"",VLOOKUP($A$2&amp;O5,Data!E:G,2,FALSE))</f>
        <v>rr-Yy-SS</v>
      </c>
      <c r="O4" s="40"/>
      <c r="P4" s="21" t="str">
        <f>IF(OR($I4="-",N$3="-"),"",VLOOKUP($A$2&amp;O5,Data!E:G,3,FALSE))</f>
        <v>Blue</v>
      </c>
      <c r="Q4" s="41" t="str">
        <f>IF(OR($I4="-",N$3="-"),"",VLOOKUP($A$2&amp;O5,Data!$E:$Z,22,FALSE))</f>
        <v>2</v>
      </c>
      <c r="R4" s="22" t="str">
        <f>IF(OR($I4="-",R$3="-"),"",VLOOKUP($A$2&amp;S5,Data!E:G,2,FALSE))</f>
        <v/>
      </c>
      <c r="S4" s="40"/>
      <c r="T4" s="21" t="str">
        <f>IF(OR($I4="-",R$3="-"),"",VLOOKUP($A$2&amp;S5,Data!E:G,3,FALSE))</f>
        <v/>
      </c>
      <c r="U4" s="41" t="str">
        <f>IF(OR($I4="-",R$3="-"),"",VLOOKUP($A$2&amp;S5,Data!$E:$Z,22,FALSE))</f>
        <v/>
      </c>
      <c r="V4" s="22" t="str">
        <f>IF(OR($I4="-",V$3="-"),"",VLOOKUP($A$2&amp;W5,Data!E:G,2,FALSE))</f>
        <v/>
      </c>
      <c r="W4" s="40"/>
      <c r="X4" s="21" t="str">
        <f>IF(OR($I4="-",V$3="-"),"",VLOOKUP($A$2&amp;W5,Data!E:G,3,FALSE))</f>
        <v/>
      </c>
      <c r="Y4" s="41" t="str">
        <f>IF(OR($I4="-",V$3="-"),"",VLOOKUP($A$2&amp;W5,Data!$E:$Z,22,FALSE))</f>
        <v/>
      </c>
      <c r="Z4" s="22" t="str">
        <f>IF(OR($I4="-",Z$3="-"),"",VLOOKUP($A$2&amp;$AA5,Data!E:G,2,FALSE))</f>
        <v/>
      </c>
      <c r="AA4" s="40"/>
      <c r="AB4" s="21" t="str">
        <f>IF(OR($I4="-",Z$3="-"),"",VLOOKUP($A$2&amp;AA5,Data!E:G,3,FALSE))</f>
        <v/>
      </c>
      <c r="AC4" s="41" t="str">
        <f>IF(OR($I4="-",Z$3="-"),"",VLOOKUP($A$2&amp;AA5,Data!$E:$Z,22,FALSE))</f>
        <v/>
      </c>
      <c r="AD4" s="22" t="str">
        <f>IF(OR($I4="-",AD$3="-"),"",VLOOKUP($A$2&amp;$AE5,Data!E:G,2,FALSE))</f>
        <v/>
      </c>
      <c r="AE4" s="40"/>
      <c r="AF4" s="21" t="str">
        <f>IF(OR($I4="-",AD$3="-"),"",VLOOKUP($A$2&amp;AE5,Data!E:G,3,FALSE))</f>
        <v/>
      </c>
      <c r="AG4" s="41" t="str">
        <f>IF(OR($I4="-",AD$3="-"),"",VLOOKUP($A$2&amp;AE5,Data!$E:$Z,22,FALSE))</f>
        <v/>
      </c>
      <c r="AH4" s="22" t="str">
        <f>IF(OR($I4="-",AH$3="-"),"",VLOOKUP($A$2&amp;$AI5,Data!E:G,2,FALSE))</f>
        <v/>
      </c>
      <c r="AI4" s="40"/>
      <c r="AJ4" s="21" t="str">
        <f>IF(OR($I4="-",AH$3="-"),"",VLOOKUP($A$2&amp;AI5,Data!E:G,3,FALSE))</f>
        <v/>
      </c>
      <c r="AK4" s="41" t="str">
        <f>IF(OR($I4="-",AH$3="-"),"",VLOOKUP($A$2&amp;AI5,Data!$E:$Z,22,FALSE))</f>
        <v/>
      </c>
      <c r="AL4" s="22" t="str">
        <f>IF(OR($I4="-",AL$3="-"),"",VLOOKUP($A$2&amp;$AM5,Data!E:G,2,FALSE))</f>
        <v/>
      </c>
      <c r="AM4" s="40"/>
      <c r="AN4" s="21" t="str">
        <f>IF(OR($I4="-",AL$3="-"),"",VLOOKUP($A$2&amp;AM5,Data!E:G,3,FALSE))</f>
        <v/>
      </c>
      <c r="AO4" s="41" t="str">
        <f>IF(OR($I4="-",AL$3="-"),"",VLOOKUP($A$2&amp;AM5,Data!$E:$Z,22,FALSE))</f>
        <v/>
      </c>
    </row>
    <row r="5" spans="1:41" ht="15.75" hidden="1" thickBot="1" x14ac:dyDescent="0.3">
      <c r="H5" s="15"/>
      <c r="I5" s="23">
        <f>IF(VLOOKUP(Calculator!$A$2,Data!$A:$Y,1,FALSE)=Calculator!$A$2, VLOOKUP($A$2&amp;$C$4,Data!$C:$Y,9,FALSE),"I am Error")</f>
        <v>122</v>
      </c>
      <c r="J5" s="36"/>
      <c r="K5" s="37">
        <f>VLOOKUP($I5,Lists!$AE$2:$AM$10,MATCH(K$3,Lists!$AE$2:$AM$2,0),FALSE)</f>
        <v>133</v>
      </c>
      <c r="L5" s="37"/>
      <c r="M5" s="38" t="e">
        <f>IF(OR($I5="-",J$3="-"),"",VLOOKUP($A$2&amp;K6,Data!$E:$Z,22,FALSE))</f>
        <v>#N/A</v>
      </c>
      <c r="N5" s="36"/>
      <c r="O5" s="37">
        <f>VLOOKUP($I5,Lists!$AE$2:$AM$10,MATCH(O$3,Lists!$AE$2:$AM$2,0),FALSE)</f>
        <v>123</v>
      </c>
      <c r="P5" s="37"/>
      <c r="Q5" s="38" t="e">
        <f>IF(OR($I5="-",N$3="-"),"",VLOOKUP($A$2&amp;O6,Data!$E:$Z,22,FALSE))</f>
        <v>#N/A</v>
      </c>
      <c r="R5" s="36"/>
      <c r="S5" s="37" t="e">
        <f>VLOOKUP($I5,Lists!$AE$2:$AM$10,MATCH(S$3,Lists!$AE$2:$AM$2,0),FALSE)</f>
        <v>#N/A</v>
      </c>
      <c r="T5" s="37"/>
      <c r="U5" s="38" t="str">
        <f>IF(OR($I5="-",R$3="-"),"",VLOOKUP($A$2&amp;S6,Data!$E:$Z,22,FALSE))</f>
        <v/>
      </c>
      <c r="V5" s="36"/>
      <c r="W5" s="37" t="e">
        <f>VLOOKUP($I5,Lists!$AE$2:$AM$10,MATCH(W$3,Lists!$AE$2:$AM$2,0),FALSE)</f>
        <v>#N/A</v>
      </c>
      <c r="X5" s="37"/>
      <c r="Y5" s="38" t="str">
        <f>IF(OR($I5="-",V$3="-"),"",VLOOKUP($A$2&amp;W6,Data!$E:$Z,22,FALSE))</f>
        <v/>
      </c>
      <c r="Z5" s="36"/>
      <c r="AA5" s="37" t="e">
        <f>VLOOKUP($I5,Lists!$AE$2:$AM$10,MATCH(AA$3,Lists!$AE$2:$AM$2,0),FALSE)</f>
        <v>#N/A</v>
      </c>
      <c r="AB5" s="37"/>
      <c r="AC5" s="38" t="str">
        <f>IF(OR($I5="-",Z$3="-"),"",VLOOKUP($A$2&amp;AA6,Data!$E:$Z,22,FALSE))</f>
        <v/>
      </c>
      <c r="AD5" s="36"/>
      <c r="AE5" s="37" t="e">
        <f>VLOOKUP($I5,Lists!$AE$2:$AM$10,MATCH(AE$3,Lists!$AE$2:$AM$2,0),FALSE)</f>
        <v>#N/A</v>
      </c>
      <c r="AF5" s="37"/>
      <c r="AG5" s="38" t="str">
        <f>IF(OR($I5="-",AD$3="-"),"",VLOOKUP($A$2&amp;AE6,Data!$E:$Z,22,FALSE))</f>
        <v/>
      </c>
      <c r="AH5" s="36"/>
      <c r="AI5" s="37" t="e">
        <f>VLOOKUP($I5,Lists!$AE$2:$AM$10,MATCH(AI$3,Lists!$AE$2:$AM$2,0),FALSE)</f>
        <v>#N/A</v>
      </c>
      <c r="AJ5" s="37"/>
      <c r="AK5" s="38" t="str">
        <f>IF(OR($I5="-",AH$3="-"),"",VLOOKUP($A$2&amp;AI6,Data!$E:$Z,22,FALSE))</f>
        <v/>
      </c>
      <c r="AL5" s="36"/>
      <c r="AM5" s="37" t="e">
        <f>VLOOKUP($I5,Lists!$AE$2:$AM$10,MATCH(AM$3,Lists!$AE$2:$AM$2,0),FALSE)</f>
        <v>#N/A</v>
      </c>
      <c r="AN5" s="37"/>
      <c r="AO5" s="38" t="str">
        <f>IF(OR($I5="-",AL$3="-"),"",VLOOKUP($A$2&amp;AM6,Data!$E:$Z,22,FALSE))</f>
        <v/>
      </c>
    </row>
    <row r="6" spans="1:41" ht="15.75" thickBot="1" x14ac:dyDescent="0.3">
      <c r="H6" s="15"/>
      <c r="I6" s="23" t="str">
        <f>IF(VLOOKUP(Calculator!$A$2,Data!$A:$Y,1,FALSE)=Calculator!$A$2, VLOOKUP($A$2&amp;$C$4,Data!$C:$Y,10,FALSE),"I am Error")</f>
        <v>-</v>
      </c>
      <c r="J6" s="22" t="str">
        <f>IF(OR($I6="-",J$3="-"),"",VLOOKUP($A$2&amp;K7,Data!E:G,2,FALSE))</f>
        <v/>
      </c>
      <c r="K6" s="40"/>
      <c r="L6" s="21" t="str">
        <f>IF(OR($I6="-",J$3="-"),"",VLOOKUP($A$2&amp;K7,Data!E:G,3,FALSE))</f>
        <v/>
      </c>
      <c r="M6" s="41" t="str">
        <f>IF(OR($I6="-",J$3="-"),"",VLOOKUP($A$2&amp;K7,Data!$E:$Z,22,FALSE))</f>
        <v/>
      </c>
      <c r="N6" s="22" t="str">
        <f>IF(OR($I6="-",N$3="-"),"",VLOOKUP($A$2&amp;O7,Data!E:G,2,FALSE))</f>
        <v/>
      </c>
      <c r="O6" s="40"/>
      <c r="P6" s="21" t="str">
        <f>IF(OR($I6="-",N$3="-"),"",VLOOKUP($A$2&amp;O7,Data!E:G,3,FALSE))</f>
        <v/>
      </c>
      <c r="Q6" s="41" t="str">
        <f>IF(OR($I6="-",N$3="-"),"",VLOOKUP($A$2&amp;O7,Data!$E:$Z,22,FALSE))</f>
        <v/>
      </c>
      <c r="R6" s="22" t="str">
        <f>IF(OR($I6="-",R$3="-"),"",VLOOKUP($A$2&amp;S7,Data!E:G,2,FALSE))</f>
        <v/>
      </c>
      <c r="S6" s="40"/>
      <c r="T6" s="21" t="str">
        <f>IF(OR($I6="-",R$3="-"),"",VLOOKUP($A$2&amp;S7,Data!E:G,3,FALSE))</f>
        <v/>
      </c>
      <c r="U6" s="41" t="str">
        <f>IF(OR($I6="-",R$3="-"),"",VLOOKUP($A$2&amp;S7,Data!$E:$Z,22,FALSE))</f>
        <v/>
      </c>
      <c r="V6" s="22" t="str">
        <f>IF(OR($I6="-",V$3="-"),"",VLOOKUP($A$2&amp;W7,Data!E:G,2,FALSE))</f>
        <v/>
      </c>
      <c r="W6" s="40"/>
      <c r="X6" s="21" t="str">
        <f>IF(OR($I6="-",V$3="-"),"",VLOOKUP($A$2&amp;W7,Data!E:G,3,FALSE))</f>
        <v/>
      </c>
      <c r="Y6" s="41" t="str">
        <f>IF(OR($I6="-",V$3="-"),"",VLOOKUP($A$2&amp;W7,Data!$E:$Z,22,FALSE))</f>
        <v/>
      </c>
      <c r="Z6" s="22" t="str">
        <f>IF(OR($I6="-",Z$3="-"),"",VLOOKUP($A$2&amp;$AA7,Data!E:G,2,FALSE))</f>
        <v/>
      </c>
      <c r="AA6" s="40"/>
      <c r="AB6" s="21" t="str">
        <f>IF(OR($I6="-",Z$3="-"),"",VLOOKUP($A$2&amp;AA7,Data!E:G,3,FALSE))</f>
        <v/>
      </c>
      <c r="AC6" s="41" t="str">
        <f>IF(OR($I6="-",Z$3="-"),"",VLOOKUP($A$2&amp;AA7,Data!$E:$Z,22,FALSE))</f>
        <v/>
      </c>
      <c r="AD6" s="22" t="str">
        <f>IF(OR($I6="-",AD$3="-"),"",VLOOKUP($A$2&amp;$AE7,Data!E:G,2,FALSE))</f>
        <v/>
      </c>
      <c r="AE6" s="40"/>
      <c r="AF6" s="21" t="str">
        <f>IF(OR($I6="-",AD$3="-"),"",VLOOKUP($A$2&amp;AE7,Data!E:G,3,FALSE))</f>
        <v/>
      </c>
      <c r="AG6" s="41" t="str">
        <f>IF(OR($I6="-",AD$3="-"),"",VLOOKUP($A$2&amp;AE7,Data!$E:$Z,22,FALSE))</f>
        <v/>
      </c>
      <c r="AH6" s="22" t="str">
        <f>IF(OR($I6="-",AH$3="-"),"",VLOOKUP($A$2&amp;$AI7,Data!E:G,2,FALSE))</f>
        <v/>
      </c>
      <c r="AI6" s="40"/>
      <c r="AJ6" s="21" t="str">
        <f>IF(OR($I6="-",AH$3="-"),"",VLOOKUP($A$2&amp;AI7,Data!E:G,3,FALSE))</f>
        <v/>
      </c>
      <c r="AK6" s="41" t="str">
        <f>IF(OR($I6="-",AH$3="-"),"",VLOOKUP($A$2&amp;AI7,Data!$E:$Z,22,FALSE))</f>
        <v/>
      </c>
      <c r="AL6" s="22" t="str">
        <f>IF(OR($I6="-",AL$3="-"),"",VLOOKUP($A$2&amp;$AM7,Data!E:G,2,FALSE))</f>
        <v/>
      </c>
      <c r="AM6" s="40"/>
      <c r="AN6" s="21" t="str">
        <f>IF(OR($I6="-",AL$3="-"),"",VLOOKUP($A$2&amp;AM7,Data!E:G,3,FALSE))</f>
        <v/>
      </c>
      <c r="AO6" s="41" t="str">
        <f>IF(OR($I6="-",AL$3="-"),"",VLOOKUP($A$2&amp;AM7,Data!$E:$Z,22,FALSE))</f>
        <v/>
      </c>
    </row>
    <row r="7" spans="1:41" ht="15.75" hidden="1" thickBot="1" x14ac:dyDescent="0.3">
      <c r="H7" s="15"/>
      <c r="I7" s="23" t="str">
        <f>IF(VLOOKUP(Calculator!$A$2,Data!$A:$Y,1,FALSE)=Calculator!$A$2, VLOOKUP($A$2&amp;$C$4,Data!$C:$Y,11,FALSE),"I am Error")</f>
        <v>-</v>
      </c>
      <c r="J7" s="36"/>
      <c r="K7" s="37" t="e">
        <f>VLOOKUP($I7,Lists!$AE$2:$AM$10,MATCH(K$3,Lists!$AE$2:$AM$2,0),FALSE)</f>
        <v>#N/A</v>
      </c>
      <c r="L7" s="37"/>
      <c r="M7" s="38" t="str">
        <f>IF(OR($I7="-",J$3="-"),"",VLOOKUP($A$2&amp;K8,Data!$E:$Z,22,FALSE))</f>
        <v/>
      </c>
      <c r="N7" s="36"/>
      <c r="O7" s="37" t="e">
        <f>VLOOKUP($I7,Lists!$AE$2:$AM$10,MATCH(O$3,Lists!$AE$2:$AM$2,0),FALSE)</f>
        <v>#N/A</v>
      </c>
      <c r="P7" s="37"/>
      <c r="Q7" s="38" t="str">
        <f>IF(OR($I7="-",N$3="-"),"",VLOOKUP($A$2&amp;O8,Data!$E:$Z,22,FALSE))</f>
        <v/>
      </c>
      <c r="R7" s="36"/>
      <c r="S7" s="37" t="e">
        <f>VLOOKUP($I7,Lists!$AE$2:$AM$10,MATCH(S$3,Lists!$AE$2:$AM$2,0),FALSE)</f>
        <v>#N/A</v>
      </c>
      <c r="T7" s="37"/>
      <c r="U7" s="38" t="str">
        <f>IF(OR($I7="-",R$3="-"),"",VLOOKUP($A$2&amp;S8,Data!$E:$Z,22,FALSE))</f>
        <v/>
      </c>
      <c r="V7" s="36"/>
      <c r="W7" s="37" t="e">
        <f>VLOOKUP($I7,Lists!$AE$2:$AM$10,MATCH(W$3,Lists!$AE$2:$AM$2,0),FALSE)</f>
        <v>#N/A</v>
      </c>
      <c r="X7" s="37"/>
      <c r="Y7" s="38" t="str">
        <f>IF(OR($I7="-",V$3="-"),"",VLOOKUP($A$2&amp;W8,Data!$E:$Z,22,FALSE))</f>
        <v/>
      </c>
      <c r="Z7" s="36"/>
      <c r="AA7" s="37" t="e">
        <f>VLOOKUP($I7,Lists!$AE$2:$AM$10,MATCH(AA$3,Lists!$AE$2:$AM$2,0),FALSE)</f>
        <v>#N/A</v>
      </c>
      <c r="AB7" s="37"/>
      <c r="AC7" s="38" t="str">
        <f>IF(OR($I7="-",Z$3="-"),"",VLOOKUP($A$2&amp;AA8,Data!$E:$Z,22,FALSE))</f>
        <v/>
      </c>
      <c r="AD7" s="36"/>
      <c r="AE7" s="37" t="e">
        <f>VLOOKUP($I7,Lists!$AE$2:$AM$10,MATCH(AE$3,Lists!$AE$2:$AM$2,0),FALSE)</f>
        <v>#N/A</v>
      </c>
      <c r="AF7" s="37"/>
      <c r="AG7" s="38" t="str">
        <f>IF(OR($I7="-",AD$3="-"),"",VLOOKUP($A$2&amp;AE8,Data!$E:$Z,22,FALSE))</f>
        <v/>
      </c>
      <c r="AH7" s="36"/>
      <c r="AI7" s="37" t="e">
        <f>VLOOKUP($I7,Lists!$AE$2:$AM$10,MATCH(AI$3,Lists!$AE$2:$AM$2,0),FALSE)</f>
        <v>#N/A</v>
      </c>
      <c r="AJ7" s="37"/>
      <c r="AK7" s="38" t="str">
        <f>IF(OR($I7="-",AH$3="-"),"",VLOOKUP($A$2&amp;AI8,Data!$E:$Z,22,FALSE))</f>
        <v/>
      </c>
      <c r="AL7" s="36"/>
      <c r="AM7" s="37" t="e">
        <f>VLOOKUP($I7,Lists!$AE$2:$AM$10,MATCH(AM$3,Lists!$AE$2:$AM$2,0),FALSE)</f>
        <v>#N/A</v>
      </c>
      <c r="AN7" s="37"/>
      <c r="AO7" s="38" t="str">
        <f>IF(OR($I7="-",AL$3="-"),"",VLOOKUP($A$2&amp;AM8,Data!$E:$Z,22,FALSE))</f>
        <v/>
      </c>
    </row>
    <row r="8" spans="1:41" ht="15.75" thickBot="1" x14ac:dyDescent="0.3">
      <c r="H8" s="15"/>
      <c r="I8" s="23" t="str">
        <f>IF(VLOOKUP(Calculator!$A$2,Data!$A:$Y,1,FALSE)=Calculator!$A$2, VLOOKUP($A$2&amp;$C$4,Data!$C:$Y,12,FALSE),"I am Error")</f>
        <v>-</v>
      </c>
      <c r="J8" s="22" t="str">
        <f>IF(OR($I8="-",J$3="-"),"",VLOOKUP($A$2&amp;K9,Data!E:G,2,FALSE))</f>
        <v/>
      </c>
      <c r="K8" s="40"/>
      <c r="L8" s="21" t="str">
        <f>IF(OR($I8="-",J$3="-"),"",VLOOKUP($A$2&amp;K9,Data!E:G,3,FALSE))</f>
        <v/>
      </c>
      <c r="M8" s="41" t="str">
        <f>IF(OR($I8="-",J$3="-"),"",VLOOKUP($A$2&amp;K9,Data!$E:$Z,22,FALSE))</f>
        <v/>
      </c>
      <c r="N8" s="22" t="str">
        <f>IF(OR($I8="-",N$3="-"),"",VLOOKUP($A$2&amp;O9,Data!E:G,2,FALSE))</f>
        <v/>
      </c>
      <c r="O8" s="40"/>
      <c r="P8" s="21" t="str">
        <f>IF(OR($I8="-",N$3="-"),"",VLOOKUP($A$2&amp;O9,Data!E:G,3,FALSE))</f>
        <v/>
      </c>
      <c r="Q8" s="41" t="str">
        <f>IF(OR($I8="-",N$3="-"),"",VLOOKUP($A$2&amp;O9,Data!$E:$Z,22,FALSE))</f>
        <v/>
      </c>
      <c r="R8" s="22" t="str">
        <f>IF(OR($I8="-",R$3="-"),"",VLOOKUP($A$2&amp;S9,Data!E:G,2,FALSE))</f>
        <v/>
      </c>
      <c r="S8" s="40"/>
      <c r="T8" s="21" t="str">
        <f>IF(OR($I8="-",R$3="-"),"",VLOOKUP($A$2&amp;S9,Data!E:G,3,FALSE))</f>
        <v/>
      </c>
      <c r="U8" s="41" t="str">
        <f>IF(OR($I8="-",R$3="-"),"",VLOOKUP($A$2&amp;S9,Data!$E:$Z,22,FALSE))</f>
        <v/>
      </c>
      <c r="V8" s="22" t="str">
        <f>IF(OR($I8="-",V$3="-"),"",VLOOKUP($A$2&amp;W9,Data!E:G,2,FALSE))</f>
        <v/>
      </c>
      <c r="W8" s="40"/>
      <c r="X8" s="21" t="str">
        <f>IF(OR($I8="-",V$3="-"),"",VLOOKUP($A$2&amp;W9,Data!E:G,3,FALSE))</f>
        <v/>
      </c>
      <c r="Y8" s="41" t="str">
        <f>IF(OR($I8="-",V$3="-"),"",VLOOKUP($A$2&amp;W9,Data!$E:$Z,22,FALSE))</f>
        <v/>
      </c>
      <c r="Z8" s="22" t="str">
        <f>IF(OR($I8="-",Z$3="-"),"",VLOOKUP($A$2&amp;$AA9,Data!E:G,2,FALSE))</f>
        <v/>
      </c>
      <c r="AA8" s="40"/>
      <c r="AB8" s="21" t="str">
        <f>IF(OR($I8="-",Z$3="-"),"",VLOOKUP($A$2&amp;AA9,Data!E:G,3,FALSE))</f>
        <v/>
      </c>
      <c r="AC8" s="41" t="str">
        <f>IF(OR($I8="-",Z$3="-"),"",VLOOKUP($A$2&amp;AA9,Data!$E:$Z,22,FALSE))</f>
        <v/>
      </c>
      <c r="AD8" s="22" t="str">
        <f>IF(OR($I8="-",AD$3="-"),"",VLOOKUP($A$2&amp;$AE9,Data!E:G,2,FALSE))</f>
        <v/>
      </c>
      <c r="AE8" s="40"/>
      <c r="AF8" s="21" t="str">
        <f>IF(OR($I8="-",AD$3="-"),"",VLOOKUP($A$2&amp;AE9,Data!E:G,3,FALSE))</f>
        <v/>
      </c>
      <c r="AG8" s="41" t="str">
        <f>IF(OR($I8="-",AD$3="-"),"",VLOOKUP($A$2&amp;AE9,Data!$E:$Z,22,FALSE))</f>
        <v/>
      </c>
      <c r="AH8" s="22" t="str">
        <f>IF(OR($I8="-",AH$3="-"),"",VLOOKUP($A$2&amp;$AI9,Data!E:G,2,FALSE))</f>
        <v/>
      </c>
      <c r="AI8" s="40"/>
      <c r="AJ8" s="21" t="str">
        <f>IF(OR($I8="-",AH$3="-"),"",VLOOKUP($A$2&amp;AI9,Data!E:G,3,FALSE))</f>
        <v/>
      </c>
      <c r="AK8" s="41" t="str">
        <f>IF(OR($I8="-",AH$3="-"),"",VLOOKUP($A$2&amp;AI9,Data!$E:$Z,22,FALSE))</f>
        <v/>
      </c>
      <c r="AL8" s="22" t="str">
        <f>IF(OR($I8="-",AL$3="-"),"",VLOOKUP($A$2&amp;$AM9,Data!E:G,2,FALSE))</f>
        <v/>
      </c>
      <c r="AM8" s="40"/>
      <c r="AN8" s="21" t="str">
        <f>IF(OR($I8="-",AL$3="-"),"",VLOOKUP($A$2&amp;AM9,Data!E:G,3,FALSE))</f>
        <v/>
      </c>
      <c r="AO8" s="41" t="str">
        <f>IF(OR($I8="-",AL$3="-"),"",VLOOKUP($A$2&amp;AM9,Data!$E:$Z,22,FALSE))</f>
        <v/>
      </c>
    </row>
    <row r="9" spans="1:41" ht="15.75" hidden="1" thickBot="1" x14ac:dyDescent="0.3">
      <c r="H9" s="15"/>
      <c r="I9" s="23" t="str">
        <f>IF(VLOOKUP(Calculator!$A$2,Data!$A:$Y,1,FALSE)=Calculator!$A$2, VLOOKUP($A$2&amp;$C$4,Data!$C:$Y,13,FALSE),"I am Error")</f>
        <v>-</v>
      </c>
      <c r="J9" s="36"/>
      <c r="K9" s="37" t="e">
        <f>VLOOKUP($I9,Lists!$AE$2:$AM$10,MATCH(K$3,Lists!$AE$2:$AM$2,0),FALSE)</f>
        <v>#N/A</v>
      </c>
      <c r="L9" s="37"/>
      <c r="M9" s="38" t="str">
        <f>IF(OR($I9="-",J$3="-"),"",VLOOKUP($A$2&amp;K10,Data!$E:$Z,22,FALSE))</f>
        <v/>
      </c>
      <c r="N9" s="36"/>
      <c r="O9" s="37" t="e">
        <f>VLOOKUP($I9,Lists!$AE$2:$AM$10,MATCH(O$3,Lists!$AE$2:$AM$2,0),FALSE)</f>
        <v>#N/A</v>
      </c>
      <c r="P9" s="37"/>
      <c r="Q9" s="38" t="str">
        <f>IF(OR($I9="-",N$3="-"),"",VLOOKUP($A$2&amp;O10,Data!$E:$Z,22,FALSE))</f>
        <v/>
      </c>
      <c r="R9" s="36"/>
      <c r="S9" s="37" t="e">
        <f>VLOOKUP($I9,Lists!$AE$2:$AM$10,MATCH(S$3,Lists!$AE$2:$AM$2,0),FALSE)</f>
        <v>#N/A</v>
      </c>
      <c r="T9" s="37"/>
      <c r="U9" s="38" t="str">
        <f>IF(OR($I9="-",R$3="-"),"",VLOOKUP($A$2&amp;S10,Data!$E:$Z,22,FALSE))</f>
        <v/>
      </c>
      <c r="V9" s="36"/>
      <c r="W9" s="37" t="e">
        <f>VLOOKUP($I9,Lists!$AE$2:$AM$10,MATCH(W$3,Lists!$AE$2:$AM$2,0),FALSE)</f>
        <v>#N/A</v>
      </c>
      <c r="X9" s="37"/>
      <c r="Y9" s="38" t="str">
        <f>IF(OR($I9="-",V$3="-"),"",VLOOKUP($A$2&amp;W10,Data!$E:$Z,22,FALSE))</f>
        <v/>
      </c>
      <c r="Z9" s="36"/>
      <c r="AA9" s="37" t="e">
        <f>VLOOKUP($I9,Lists!$AE$2:$AM$10,MATCH(AA$3,Lists!$AE$2:$AM$2,0),FALSE)</f>
        <v>#N/A</v>
      </c>
      <c r="AB9" s="37"/>
      <c r="AC9" s="38" t="str">
        <f>IF(OR($I9="-",Z$3="-"),"",VLOOKUP($A$2&amp;AA10,Data!$E:$Z,22,FALSE))</f>
        <v/>
      </c>
      <c r="AD9" s="36"/>
      <c r="AE9" s="37" t="e">
        <f>VLOOKUP($I9,Lists!$AE$2:$AM$10,MATCH(AE$3,Lists!$AE$2:$AM$2,0),FALSE)</f>
        <v>#N/A</v>
      </c>
      <c r="AF9" s="37"/>
      <c r="AG9" s="38" t="str">
        <f>IF(OR($I9="-",AD$3="-"),"",VLOOKUP($A$2&amp;AE10,Data!$E:$Z,22,FALSE))</f>
        <v/>
      </c>
      <c r="AH9" s="36"/>
      <c r="AI9" s="37" t="e">
        <f>VLOOKUP($I9,Lists!$AE$2:$AM$10,MATCH(AI$3,Lists!$AE$2:$AM$2,0),FALSE)</f>
        <v>#N/A</v>
      </c>
      <c r="AJ9" s="37"/>
      <c r="AK9" s="38" t="str">
        <f>IF(OR($I9="-",AH$3="-"),"",VLOOKUP($A$2&amp;AI10,Data!$E:$Z,22,FALSE))</f>
        <v/>
      </c>
      <c r="AL9" s="36"/>
      <c r="AM9" s="37" t="e">
        <f>VLOOKUP($I9,Lists!$AE$2:$AM$10,MATCH(AM$3,Lists!$AE$2:$AM$2,0),FALSE)</f>
        <v>#N/A</v>
      </c>
      <c r="AN9" s="37"/>
      <c r="AO9" s="38" t="str">
        <f>IF(OR($I9="-",AL$3="-"),"",VLOOKUP($A$2&amp;AM10,Data!$E:$Z,22,FALSE))</f>
        <v/>
      </c>
    </row>
    <row r="10" spans="1:41" ht="15.75" thickBot="1" x14ac:dyDescent="0.3">
      <c r="H10" s="15"/>
      <c r="I10" s="23" t="str">
        <f>IF(VLOOKUP(Calculator!$A$2,Data!$A:$Y,1,FALSE)=Calculator!$A$2, VLOOKUP($A$2&amp;$C$4,Data!$C:$Y,14,FALSE),"I am Error")</f>
        <v>-</v>
      </c>
      <c r="J10" s="22" t="str">
        <f>IF(OR($I10="-",J$3="-"),"",VLOOKUP($A$2&amp;K11,Data!E:G,2,FALSE))</f>
        <v/>
      </c>
      <c r="K10" s="40"/>
      <c r="L10" s="21" t="str">
        <f>IF(OR($I10="-",J$3="-"),"",VLOOKUP($A$2&amp;K11,Data!E:G,3,FALSE))</f>
        <v/>
      </c>
      <c r="M10" s="41" t="str">
        <f>IF(OR($I10="-",J$3="-"),"",VLOOKUP($A$2&amp;K11,Data!$E:$Z,22,FALSE))</f>
        <v/>
      </c>
      <c r="N10" s="22" t="str">
        <f>IF(OR($I10="-",N$3="-"),"",VLOOKUP($A$2&amp;O11,Data!E:G,2,FALSE))</f>
        <v/>
      </c>
      <c r="O10" s="40"/>
      <c r="P10" s="21" t="str">
        <f>IF(OR($I10="-",N$3="-"),"",VLOOKUP($A$2&amp;O11,Data!E:G,3,FALSE))</f>
        <v/>
      </c>
      <c r="Q10" s="41" t="str">
        <f>IF(OR($I10="-",N$3="-"),"",VLOOKUP($A$2&amp;O11,Data!$E:$Z,22,FALSE))</f>
        <v/>
      </c>
      <c r="R10" s="22" t="str">
        <f>IF(OR($I10="-",R$3="-"),"",VLOOKUP($A$2&amp;S11,Data!E:G,2,FALSE))</f>
        <v/>
      </c>
      <c r="S10" s="40"/>
      <c r="T10" s="21" t="str">
        <f>IF(OR($I10="-",R$3="-"),"",VLOOKUP($A$2&amp;S11,Data!E:G,3,FALSE))</f>
        <v/>
      </c>
      <c r="U10" s="41" t="str">
        <f>IF(OR($I10="-",R$3="-"),"",VLOOKUP($A$2&amp;S11,Data!$E:$Z,22,FALSE))</f>
        <v/>
      </c>
      <c r="V10" s="22" t="str">
        <f>IF(OR($I10="-",V$3="-"),"",VLOOKUP($A$2&amp;W11,Data!E:G,2,FALSE))</f>
        <v/>
      </c>
      <c r="W10" s="40"/>
      <c r="X10" s="21" t="str">
        <f>IF(OR($I10="-",V$3="-"),"",VLOOKUP($A$2&amp;W11,Data!E:G,3,FALSE))</f>
        <v/>
      </c>
      <c r="Y10" s="41" t="str">
        <f>IF(OR($I10="-",V$3="-"),"",VLOOKUP($A$2&amp;W11,Data!$E:$Z,22,FALSE))</f>
        <v/>
      </c>
      <c r="Z10" s="22" t="str">
        <f>IF(OR($I10="-",Z$3="-"),"",VLOOKUP($A$2&amp;$AA11,Data!E:G,2,FALSE))</f>
        <v/>
      </c>
      <c r="AA10" s="40"/>
      <c r="AB10" s="21" t="str">
        <f>IF(OR($I10="-",Z$3="-"),"",VLOOKUP($A$2&amp;AA11,Data!E:G,3,FALSE))</f>
        <v/>
      </c>
      <c r="AC10" s="41" t="str">
        <f>IF(OR($I10="-",Z$3="-"),"",VLOOKUP($A$2&amp;AA11,Data!$E:$Z,22,FALSE))</f>
        <v/>
      </c>
      <c r="AD10" s="22" t="str">
        <f>IF(OR($I10="-",AD$3="-"),"",VLOOKUP($A$2&amp;$AE11,Data!E:G,2,FALSE))</f>
        <v/>
      </c>
      <c r="AE10" s="40"/>
      <c r="AF10" s="21" t="str">
        <f>IF(OR($I10="-",AD$3="-"),"",VLOOKUP($A$2&amp;AE11,Data!E:G,3,FALSE))</f>
        <v/>
      </c>
      <c r="AG10" s="41" t="str">
        <f>IF(OR($I10="-",AD$3="-"),"",VLOOKUP($A$2&amp;AE11,Data!$E:$Z,22,FALSE))</f>
        <v/>
      </c>
      <c r="AH10" s="22" t="str">
        <f>IF(OR($I10="-",AH$3="-"),"",VLOOKUP($A$2&amp;$AI11,Data!E:G,2,FALSE))</f>
        <v/>
      </c>
      <c r="AI10" s="40"/>
      <c r="AJ10" s="21" t="str">
        <f>IF(OR($I10="-",AH$3="-"),"",VLOOKUP($A$2&amp;AI11,Data!E:G,3,FALSE))</f>
        <v/>
      </c>
      <c r="AK10" s="41" t="str">
        <f>IF(OR($I10="-",AH$3="-"),"",VLOOKUP($A$2&amp;AI11,Data!$E:$Z,22,FALSE))</f>
        <v/>
      </c>
      <c r="AL10" s="22" t="str">
        <f>IF(OR($I10="-",AL$3="-"),"",VLOOKUP($A$2&amp;$AM11,Data!E:G,2,FALSE))</f>
        <v/>
      </c>
      <c r="AM10" s="40"/>
      <c r="AN10" s="21" t="str">
        <f>IF(OR($I10="-",AL$3="-"),"",VLOOKUP($A$2&amp;AM11,Data!E:G,3,FALSE))</f>
        <v/>
      </c>
      <c r="AO10" s="41" t="str">
        <f>IF(OR($I10="-",AL$3="-"),"",VLOOKUP($A$2&amp;AM11,Data!$E:$Z,22,FALSE))</f>
        <v/>
      </c>
    </row>
    <row r="11" spans="1:41" ht="15.75" hidden="1" thickBot="1" x14ac:dyDescent="0.3">
      <c r="H11" s="15"/>
      <c r="I11" s="23" t="str">
        <f>IF(VLOOKUP(Calculator!$A$2,Data!$A:$Y,1,FALSE)=Calculator!$A$2, VLOOKUP($A$2&amp;$C$4,Data!$C:$Y,15,FALSE),"I am Error")</f>
        <v>-</v>
      </c>
      <c r="J11" s="36"/>
      <c r="K11" s="37" t="e">
        <f>VLOOKUP($I11,Lists!$AE$2:$AM$10,MATCH(K$3,Lists!$AE$2:$AM$2,0),FALSE)</f>
        <v>#N/A</v>
      </c>
      <c r="L11" s="37"/>
      <c r="M11" s="38" t="str">
        <f>IF(OR($I11="-",J$3="-"),"",VLOOKUP($A$2&amp;K12,Data!$E:$Z,22,FALSE))</f>
        <v/>
      </c>
      <c r="N11" s="36"/>
      <c r="O11" s="37" t="e">
        <f>VLOOKUP($I11,Lists!$AE$2:$AM$10,MATCH(O$3,Lists!$AE$2:$AM$2,0),FALSE)</f>
        <v>#N/A</v>
      </c>
      <c r="P11" s="37"/>
      <c r="Q11" s="38" t="str">
        <f>IF(OR($I11="-",N$3="-"),"",VLOOKUP($A$2&amp;O12,Data!$E:$Z,22,FALSE))</f>
        <v/>
      </c>
      <c r="R11" s="36"/>
      <c r="S11" s="37" t="e">
        <f>VLOOKUP($I11,Lists!$AE$2:$AM$10,MATCH(S$3,Lists!$AE$2:$AM$2,0),FALSE)</f>
        <v>#N/A</v>
      </c>
      <c r="T11" s="37"/>
      <c r="U11" s="38" t="str">
        <f>IF(OR($I11="-",R$3="-"),"",VLOOKUP($A$2&amp;S12,Data!$E:$Z,22,FALSE))</f>
        <v/>
      </c>
      <c r="V11" s="36"/>
      <c r="W11" s="37" t="e">
        <f>VLOOKUP($I11,Lists!$AE$2:$AM$10,MATCH(W$3,Lists!$AE$2:$AM$2,0),FALSE)</f>
        <v>#N/A</v>
      </c>
      <c r="X11" s="37"/>
      <c r="Y11" s="38" t="str">
        <f>IF(OR($I11="-",V$3="-"),"",VLOOKUP($A$2&amp;W12,Data!$E:$Z,22,FALSE))</f>
        <v/>
      </c>
      <c r="Z11" s="36"/>
      <c r="AA11" s="37" t="e">
        <f>VLOOKUP($I11,Lists!$AE$2:$AM$10,MATCH(AA$3,Lists!$AE$2:$AM$2,0),FALSE)</f>
        <v>#N/A</v>
      </c>
      <c r="AB11" s="37"/>
      <c r="AC11" s="38" t="str">
        <f>IF(OR($I11="-",Z$3="-"),"",VLOOKUP($A$2&amp;AA12,Data!$E:$Z,22,FALSE))</f>
        <v/>
      </c>
      <c r="AD11" s="36"/>
      <c r="AE11" s="37" t="e">
        <f>VLOOKUP($I11,Lists!$AE$2:$AM$10,MATCH(AE$3,Lists!$AE$2:$AM$2,0),FALSE)</f>
        <v>#N/A</v>
      </c>
      <c r="AF11" s="37"/>
      <c r="AG11" s="38" t="str">
        <f>IF(OR($I11="-",AD$3="-"),"",VLOOKUP($A$2&amp;AE12,Data!$E:$Z,22,FALSE))</f>
        <v/>
      </c>
      <c r="AH11" s="36"/>
      <c r="AI11" s="37" t="e">
        <f>VLOOKUP($I11,Lists!$AE$2:$AM$10,MATCH(AI$3,Lists!$AE$2:$AM$2,0),FALSE)</f>
        <v>#N/A</v>
      </c>
      <c r="AJ11" s="37"/>
      <c r="AK11" s="38" t="str">
        <f>IF(OR($I11="-",AH$3="-"),"",VLOOKUP($A$2&amp;AI12,Data!$E:$Z,22,FALSE))</f>
        <v/>
      </c>
      <c r="AL11" s="36"/>
      <c r="AM11" s="37" t="e">
        <f>VLOOKUP($I11,Lists!$AE$2:$AM$10,MATCH(AM$3,Lists!$AE$2:$AM$2,0),FALSE)</f>
        <v>#N/A</v>
      </c>
      <c r="AN11" s="37"/>
      <c r="AO11" s="38" t="str">
        <f>IF(OR($I11="-",AL$3="-"),"",VLOOKUP($A$2&amp;AM12,Data!$E:$Z,22,FALSE))</f>
        <v/>
      </c>
    </row>
    <row r="12" spans="1:41" ht="15.75" thickBot="1" x14ac:dyDescent="0.3">
      <c r="A12" s="6"/>
      <c r="H12" s="15"/>
      <c r="I12" s="23" t="str">
        <f>IF(VLOOKUP(Calculator!$A$2,Data!$A:$Y,1,FALSE)=Calculator!$A$2, VLOOKUP($A$2&amp;$C$4,Data!$C:$Y,16,FALSE),"I am Error")</f>
        <v>-</v>
      </c>
      <c r="J12" s="22" t="str">
        <f>IF(OR($I12="-",J$3="-"),"",VLOOKUP($A$2&amp;K13,Data!E:G,2,FALSE))</f>
        <v/>
      </c>
      <c r="K12" s="40"/>
      <c r="L12" s="21" t="str">
        <f>IF(OR($I12="-",J$3="-"),"",VLOOKUP($A$2&amp;K13,Data!E:G,3,FALSE))</f>
        <v/>
      </c>
      <c r="M12" s="41" t="str">
        <f>IF(OR($I12="-",J$3="-"),"",VLOOKUP($A$2&amp;K13,Data!$E:$Z,22,FALSE))</f>
        <v/>
      </c>
      <c r="N12" s="22" t="str">
        <f>IF(OR($I12="-",N$3="-"),"",VLOOKUP($A$2&amp;O13,Data!E:G,2,FALSE))</f>
        <v/>
      </c>
      <c r="O12" s="40"/>
      <c r="P12" s="21" t="str">
        <f>IF(OR($I12="-",N$3="-"),"",VLOOKUP($A$2&amp;O13,Data!E:G,3,FALSE))</f>
        <v/>
      </c>
      <c r="Q12" s="41" t="str">
        <f>IF(OR($I12="-",N$3="-"),"",VLOOKUP($A$2&amp;O13,Data!$E:$Z,22,FALSE))</f>
        <v/>
      </c>
      <c r="R12" s="22" t="str">
        <f>IF(OR($I12="-",R$3="-"),"",VLOOKUP($A$2&amp;S13,Data!E:G,2,FALSE))</f>
        <v/>
      </c>
      <c r="S12" s="40"/>
      <c r="T12" s="21" t="str">
        <f>IF(OR($I12="-",R$3="-"),"",VLOOKUP($A$2&amp;S13,Data!E:G,3,FALSE))</f>
        <v/>
      </c>
      <c r="U12" s="41" t="str">
        <f>IF(OR($I12="-",R$3="-"),"",VLOOKUP($A$2&amp;S13,Data!$E:$Z,22,FALSE))</f>
        <v/>
      </c>
      <c r="V12" s="22" t="str">
        <f>IF(OR($I12="-",V$3="-"),"",VLOOKUP($A$2&amp;W13,Data!E:G,2,FALSE))</f>
        <v/>
      </c>
      <c r="W12" s="40"/>
      <c r="X12" s="21" t="str">
        <f>IF(OR($I12="-",V$3="-"),"",VLOOKUP($A$2&amp;W13,Data!E:G,3,FALSE))</f>
        <v/>
      </c>
      <c r="Y12" s="41" t="str">
        <f>IF(OR($I12="-",V$3="-"),"",VLOOKUP($A$2&amp;W13,Data!$E:$Z,22,FALSE))</f>
        <v/>
      </c>
      <c r="Z12" s="22" t="str">
        <f>IF(OR($I12="-",Z$3="-"),"",VLOOKUP($A$2&amp;$AA13,Data!E:G,2,FALSE))</f>
        <v/>
      </c>
      <c r="AA12" s="40"/>
      <c r="AB12" s="21" t="str">
        <f>IF(OR($I12="-",Z$3="-"),"",VLOOKUP($A$2&amp;AA13,Data!E:G,3,FALSE))</f>
        <v/>
      </c>
      <c r="AC12" s="41" t="str">
        <f>IF(OR($I12="-",Z$3="-"),"",VLOOKUP($A$2&amp;AA13,Data!$E:$Z,22,FALSE))</f>
        <v/>
      </c>
      <c r="AD12" s="22" t="str">
        <f>IF(OR($I12="-",AD$3="-"),"",VLOOKUP($A$2&amp;$AE13,Data!E:G,2,FALSE))</f>
        <v/>
      </c>
      <c r="AE12" s="40"/>
      <c r="AF12" s="21" t="str">
        <f>IF(OR($I12="-",AD$3="-"),"",VLOOKUP($A$2&amp;AE13,Data!E:G,3,FALSE))</f>
        <v/>
      </c>
      <c r="AG12" s="41" t="str">
        <f>IF(OR($I12="-",AD$3="-"),"",VLOOKUP($A$2&amp;AE13,Data!$E:$Z,22,FALSE))</f>
        <v/>
      </c>
      <c r="AH12" s="22" t="str">
        <f>IF(OR($I12="-",AH$3="-"),"",VLOOKUP($A$2&amp;$AI13,Data!E:G,2,FALSE))</f>
        <v/>
      </c>
      <c r="AI12" s="40"/>
      <c r="AJ12" s="21" t="str">
        <f>IF(OR($I12="-",AH$3="-"),"",VLOOKUP($A$2&amp;AI13,Data!E:G,3,FALSE))</f>
        <v/>
      </c>
      <c r="AK12" s="41" t="str">
        <f>IF(OR($I12="-",AH$3="-"),"",VLOOKUP($A$2&amp;AI13,Data!$E:$Z,22,FALSE))</f>
        <v/>
      </c>
      <c r="AL12" s="22" t="str">
        <f>IF(OR($I12="-",AL$3="-"),"",VLOOKUP($A$2&amp;$AM13,Data!E:G,2,FALSE))</f>
        <v/>
      </c>
      <c r="AM12" s="40"/>
      <c r="AN12" s="21" t="str">
        <f>IF(OR($I12="-",AL$3="-"),"",VLOOKUP($A$2&amp;AM13,Data!E:G,3,FALSE))</f>
        <v/>
      </c>
      <c r="AO12" s="41" t="str">
        <f>IF(OR($I12="-",AL$3="-"),"",VLOOKUP($A$2&amp;AM13,Data!$E:$Z,22,FALSE))</f>
        <v/>
      </c>
    </row>
    <row r="13" spans="1:41" ht="15.75" hidden="1" thickBot="1" x14ac:dyDescent="0.3">
      <c r="H13" s="15"/>
      <c r="I13" s="23" t="str">
        <f>IF(VLOOKUP(Calculator!$A$2,Data!$A:$Y,1,FALSE)=Calculator!$A$2, VLOOKUP($A$2&amp;$C$4,Data!$C:$Y,17,FALSE),"I am Error")</f>
        <v>-</v>
      </c>
      <c r="J13" s="36"/>
      <c r="K13" s="37" t="e">
        <f>VLOOKUP($I13,Lists!$AE$2:$AM$10,MATCH(K$3,Lists!$AE$2:$AM$2,0),FALSE)</f>
        <v>#N/A</v>
      </c>
      <c r="L13" s="37"/>
      <c r="M13" s="38" t="str">
        <f>IF(OR($I13="-",J$3="-"),"",VLOOKUP($A$2&amp;K14,Data!$E:$Z,22,FALSE))</f>
        <v/>
      </c>
      <c r="N13" s="36"/>
      <c r="O13" s="37" t="e">
        <f>VLOOKUP($I13,Lists!$AE$2:$AM$10,MATCH(O$3,Lists!$AE$2:$AM$2,0),FALSE)</f>
        <v>#N/A</v>
      </c>
      <c r="P13" s="37"/>
      <c r="Q13" s="38" t="str">
        <f>IF(OR($I13="-",N$3="-"),"",VLOOKUP($A$2&amp;O14,Data!$E:$Z,22,FALSE))</f>
        <v/>
      </c>
      <c r="R13" s="36"/>
      <c r="S13" s="37" t="e">
        <f>VLOOKUP($I13,Lists!$AE$2:$AM$10,MATCH(S$3,Lists!$AE$2:$AM$2,0),FALSE)</f>
        <v>#N/A</v>
      </c>
      <c r="T13" s="37"/>
      <c r="U13" s="38" t="str">
        <f>IF(OR($I13="-",R$3="-"),"",VLOOKUP($A$2&amp;S14,Data!$E:$Z,22,FALSE))</f>
        <v/>
      </c>
      <c r="V13" s="36"/>
      <c r="W13" s="37" t="e">
        <f>VLOOKUP($I13,Lists!$AE$2:$AM$10,MATCH(W$3,Lists!$AE$2:$AM$2,0),FALSE)</f>
        <v>#N/A</v>
      </c>
      <c r="X13" s="37"/>
      <c r="Y13" s="38" t="str">
        <f>IF(OR($I13="-",V$3="-"),"",VLOOKUP($A$2&amp;W14,Data!$E:$Z,22,FALSE))</f>
        <v/>
      </c>
      <c r="Z13" s="36"/>
      <c r="AA13" s="37" t="e">
        <f>VLOOKUP($I13,Lists!$AE$2:$AM$10,MATCH(AA$3,Lists!$AE$2:$AM$2,0),FALSE)</f>
        <v>#N/A</v>
      </c>
      <c r="AB13" s="37"/>
      <c r="AC13" s="38" t="str">
        <f>IF(OR($I13="-",Z$3="-"),"",VLOOKUP($A$2&amp;AA14,Data!$E:$Z,22,FALSE))</f>
        <v/>
      </c>
      <c r="AD13" s="36"/>
      <c r="AE13" s="37" t="e">
        <f>VLOOKUP($I13,Lists!$AE$2:$AM$10,MATCH(AE$3,Lists!$AE$2:$AM$2,0),FALSE)</f>
        <v>#N/A</v>
      </c>
      <c r="AF13" s="37"/>
      <c r="AG13" s="38" t="str">
        <f>IF(OR($I13="-",AD$3="-"),"",VLOOKUP($A$2&amp;AE14,Data!$E:$Z,22,FALSE))</f>
        <v/>
      </c>
      <c r="AH13" s="36"/>
      <c r="AI13" s="37" t="e">
        <f>VLOOKUP($I13,Lists!$AE$2:$AM$10,MATCH(AI$3,Lists!$AE$2:$AM$2,0),FALSE)</f>
        <v>#N/A</v>
      </c>
      <c r="AJ13" s="37"/>
      <c r="AK13" s="38" t="str">
        <f>IF(OR($I13="-",AH$3="-"),"",VLOOKUP($A$2&amp;AI14,Data!$E:$Z,22,FALSE))</f>
        <v/>
      </c>
      <c r="AL13" s="36"/>
      <c r="AM13" s="37" t="e">
        <f>VLOOKUP($I13,Lists!$AE$2:$AM$10,MATCH(AM$3,Lists!$AE$2:$AM$2,0),FALSE)</f>
        <v>#N/A</v>
      </c>
      <c r="AN13" s="37"/>
      <c r="AO13" s="38" t="str">
        <f>IF(OR($I13="-",AL$3="-"),"",VLOOKUP($A$2&amp;AM14,Data!$E:$Z,22,FALSE))</f>
        <v/>
      </c>
    </row>
    <row r="14" spans="1:41" ht="15.75" thickBot="1" x14ac:dyDescent="0.3">
      <c r="H14" s="15"/>
      <c r="I14" s="23" t="str">
        <f>IF(VLOOKUP(Calculator!$A$2,Data!$A:$Y,1,FALSE)=Calculator!$A$2, VLOOKUP($A$2&amp;$C$4,Data!$C:$Y,18,FALSE),"I am Error")</f>
        <v>-</v>
      </c>
      <c r="J14" s="22" t="str">
        <f>IF(OR($I14="-",J$3="-"),"",VLOOKUP($A$2&amp;K15,Data!E:G,2,FALSE))</f>
        <v/>
      </c>
      <c r="K14" s="40"/>
      <c r="L14" s="21" t="str">
        <f>IF(OR($I14="-",J$3="-"),"",VLOOKUP($A$2&amp;K15,Data!E:G,3,FALSE))</f>
        <v/>
      </c>
      <c r="M14" s="41" t="str">
        <f>IF(OR($I14="-",J$3="-"),"",VLOOKUP($A$2&amp;K15,Data!$E:$Z,22,FALSE))</f>
        <v/>
      </c>
      <c r="N14" s="22" t="str">
        <f>IF(OR($I14="-",N$3="-"),"",VLOOKUP($A$2&amp;O15,Data!E:G,2,FALSE))</f>
        <v/>
      </c>
      <c r="O14" s="40"/>
      <c r="P14" s="21" t="str">
        <f>IF(OR($I14="-",N$3="-"),"",VLOOKUP($A$2&amp;O15,Data!E:G,3,FALSE))</f>
        <v/>
      </c>
      <c r="Q14" s="41" t="str">
        <f>IF(OR($I14="-",N$3="-"),"",VLOOKUP($A$2&amp;O15,Data!$E:$Z,22,FALSE))</f>
        <v/>
      </c>
      <c r="R14" s="22" t="str">
        <f>IF(OR($I14="-",R$3="-"),"",VLOOKUP($A$2&amp;S15,Data!E:G,2,FALSE))</f>
        <v/>
      </c>
      <c r="S14" s="40"/>
      <c r="T14" s="21" t="str">
        <f>IF(OR($I14="-",R$3="-"),"",VLOOKUP($A$2&amp;S15,Data!E:G,3,FALSE))</f>
        <v/>
      </c>
      <c r="U14" s="41" t="str">
        <f>IF(OR($I14="-",R$3="-"),"",VLOOKUP($A$2&amp;S15,Data!$E:$Z,22,FALSE))</f>
        <v/>
      </c>
      <c r="V14" s="22" t="str">
        <f>IF(OR($I14="-",V$3="-"),"",VLOOKUP($A$2&amp;W15,Data!E:G,2,FALSE))</f>
        <v/>
      </c>
      <c r="W14" s="40"/>
      <c r="X14" s="21" t="str">
        <f>IF(OR($I14="-",V$3="-"),"",VLOOKUP($A$2&amp;W15,Data!E:G,3,FALSE))</f>
        <v/>
      </c>
      <c r="Y14" s="41" t="str">
        <f>IF(OR($I14="-",V$3="-"),"",VLOOKUP($A$2&amp;W15,Data!$E:$Z,22,FALSE))</f>
        <v/>
      </c>
      <c r="Z14" s="22" t="str">
        <f>IF(OR($I14="-",Z$3="-"),"",VLOOKUP($A$2&amp;$AA15,Data!E:G,2,FALSE))</f>
        <v/>
      </c>
      <c r="AA14" s="40"/>
      <c r="AB14" s="21" t="str">
        <f>IF(OR($I14="-",Z$3="-"),"",VLOOKUP($A$2&amp;AA15,Data!E:G,3,FALSE))</f>
        <v/>
      </c>
      <c r="AC14" s="41" t="str">
        <f>IF(OR($I14="-",Z$3="-"),"",VLOOKUP($A$2&amp;AA15,Data!$E:$Z,22,FALSE))</f>
        <v/>
      </c>
      <c r="AD14" s="22" t="str">
        <f>IF(OR($I14="-",AD$3="-"),"",VLOOKUP($A$2&amp;$AE15,Data!E:G,2,FALSE))</f>
        <v/>
      </c>
      <c r="AE14" s="40"/>
      <c r="AF14" s="21" t="str">
        <f>IF(OR($I14="-",AD$3="-"),"",VLOOKUP($A$2&amp;AE15,Data!E:G,3,FALSE))</f>
        <v/>
      </c>
      <c r="AG14" s="41" t="str">
        <f>IF(OR($I14="-",AD$3="-"),"",VLOOKUP($A$2&amp;AE15,Data!$E:$Z,22,FALSE))</f>
        <v/>
      </c>
      <c r="AH14" s="22" t="str">
        <f>IF(OR($I14="-",AH$3="-"),"",VLOOKUP($A$2&amp;$AI15,Data!E:G,2,FALSE))</f>
        <v/>
      </c>
      <c r="AI14" s="40"/>
      <c r="AJ14" s="21" t="str">
        <f>IF(OR($I14="-",AH$3="-"),"",VLOOKUP($A$2&amp;AI15,Data!E:G,3,FALSE))</f>
        <v/>
      </c>
      <c r="AK14" s="41" t="str">
        <f>IF(OR($I14="-",AH$3="-"),"",VLOOKUP($A$2&amp;AI15,Data!$E:$Z,22,FALSE))</f>
        <v/>
      </c>
      <c r="AL14" s="22" t="str">
        <f>IF(OR($I14="-",AL$3="-"),"",VLOOKUP($A$2&amp;$AM15,Data!E:G,2,FALSE))</f>
        <v/>
      </c>
      <c r="AM14" s="40"/>
      <c r="AN14" s="21" t="str">
        <f>IF(OR($I14="-",AL$3="-"),"",VLOOKUP($A$2&amp;AM15,Data!E:G,3,FALSE))</f>
        <v/>
      </c>
      <c r="AO14" s="41" t="str">
        <f>IF(OR($I14="-",AL$3="-"),"",VLOOKUP($A$2&amp;AM15,Data!$E:$Z,22,FALSE))</f>
        <v/>
      </c>
    </row>
    <row r="15" spans="1:41" ht="15.75" hidden="1" thickBot="1" x14ac:dyDescent="0.3">
      <c r="H15" s="15"/>
      <c r="I15" s="23" t="str">
        <f>IF(VLOOKUP(Calculator!$A$2,Data!$A:$Y,1,FALSE)=Calculator!$A$2, VLOOKUP($A$2&amp;$C$4,Data!$C:$Y,19,FALSE),"I am Error")</f>
        <v>-</v>
      </c>
      <c r="J15" s="36"/>
      <c r="K15" s="37" t="e">
        <f>VLOOKUP($I15,Lists!$AE$2:$AM$10,MATCH(K$3,Lists!$AE$2:$AM$2,0),FALSE)</f>
        <v>#N/A</v>
      </c>
      <c r="L15" s="37"/>
      <c r="M15" s="38" t="str">
        <f>IF(OR($I15="-",J$3="-"),"",VLOOKUP($A$2&amp;K16,Data!$E:$Z,22,FALSE))</f>
        <v/>
      </c>
      <c r="N15" s="36"/>
      <c r="O15" s="37" t="e">
        <f>VLOOKUP($I15,Lists!$AE$2:$AM$10,MATCH(O$3,Lists!$AE$2:$AM$2,0),FALSE)</f>
        <v>#N/A</v>
      </c>
      <c r="P15" s="37"/>
      <c r="Q15" s="38" t="str">
        <f>IF(OR($I15="-",N$3="-"),"",VLOOKUP($A$2&amp;O16,Data!$E:$Z,22,FALSE))</f>
        <v/>
      </c>
      <c r="R15" s="36"/>
      <c r="S15" s="37" t="e">
        <f>VLOOKUP($I15,Lists!$AE$2:$AM$10,MATCH(S$3,Lists!$AE$2:$AM$2,0),FALSE)</f>
        <v>#N/A</v>
      </c>
      <c r="T15" s="37"/>
      <c r="U15" s="38" t="str">
        <f>IF(OR($I15="-",R$3="-"),"",VLOOKUP($A$2&amp;S16,Data!$E:$Z,22,FALSE))</f>
        <v/>
      </c>
      <c r="V15" s="36"/>
      <c r="W15" s="37" t="e">
        <f>VLOOKUP($I15,Lists!$AE$2:$AM$10,MATCH(W$3,Lists!$AE$2:$AM$2,0),FALSE)</f>
        <v>#N/A</v>
      </c>
      <c r="X15" s="37"/>
      <c r="Y15" s="38" t="str">
        <f>IF(OR($I15="-",V$3="-"),"",VLOOKUP($A$2&amp;W16,Data!$E:$Z,22,FALSE))</f>
        <v/>
      </c>
      <c r="Z15" s="36"/>
      <c r="AA15" s="37" t="e">
        <f>VLOOKUP($I15,Lists!$AE$2:$AM$10,MATCH(AA$3,Lists!$AE$2:$AM$2,0),FALSE)</f>
        <v>#N/A</v>
      </c>
      <c r="AB15" s="37"/>
      <c r="AC15" s="38" t="str">
        <f>IF(OR($I15="-",Z$3="-"),"",VLOOKUP($A$2&amp;AA16,Data!$E:$Z,22,FALSE))</f>
        <v/>
      </c>
      <c r="AD15" s="36"/>
      <c r="AE15" s="37" t="e">
        <f>VLOOKUP($I15,Lists!$AE$2:$AM$10,MATCH(AE$3,Lists!$AE$2:$AM$2,0),FALSE)</f>
        <v>#N/A</v>
      </c>
      <c r="AF15" s="37"/>
      <c r="AG15" s="38" t="str">
        <f>IF(OR($I15="-",AD$3="-"),"",VLOOKUP($A$2&amp;AE16,Data!$E:$Z,22,FALSE))</f>
        <v/>
      </c>
      <c r="AH15" s="36"/>
      <c r="AI15" s="37" t="e">
        <f>VLOOKUP($I15,Lists!$AE$2:$AM$10,MATCH(AI$3,Lists!$AE$2:$AM$2,0),FALSE)</f>
        <v>#N/A</v>
      </c>
      <c r="AJ15" s="37"/>
      <c r="AK15" s="38" t="str">
        <f>IF(OR($I15="-",AH$3="-"),"",VLOOKUP($A$2&amp;AI16,Data!$E:$Z,22,FALSE))</f>
        <v/>
      </c>
      <c r="AL15" s="36"/>
      <c r="AM15" s="37" t="e">
        <f>VLOOKUP($I15,Lists!$AE$2:$AM$10,MATCH(AM$3,Lists!$AE$2:$AM$2,0),FALSE)</f>
        <v>#N/A</v>
      </c>
      <c r="AN15" s="37"/>
      <c r="AO15" s="38" t="str">
        <f>IF(OR($I15="-",AL$3="-"),"",VLOOKUP($A$2&amp;AM16,Data!$E:$Z,22,FALSE))</f>
        <v/>
      </c>
    </row>
    <row r="16" spans="1:41" ht="15.75" thickBot="1" x14ac:dyDescent="0.3">
      <c r="H16" s="15"/>
      <c r="I16" s="23" t="str">
        <f>IF(VLOOKUP(Calculator!$A$2,Data!$A:$Y,1,FALSE)=Calculator!$A$2, VLOOKUP($A$2&amp;$C$4,Data!$C:$Y,20,FALSE),"I am Error")</f>
        <v>-</v>
      </c>
      <c r="J16" s="22" t="str">
        <f>IF(OR($I16="-",J$3="-"),"",VLOOKUP($A$2&amp;K17,Data!E:G,2,FALSE))</f>
        <v/>
      </c>
      <c r="K16" s="40"/>
      <c r="L16" s="21" t="str">
        <f>IF(OR($I16="-",J$3="-"),"",VLOOKUP($A$2&amp;K17,Data!E:G,3,FALSE))</f>
        <v/>
      </c>
      <c r="M16" s="41" t="str">
        <f>IF(OR($I16="-",J$3="-"),"",VLOOKUP($A$2&amp;K17,Data!$E:$Z,22,FALSE))</f>
        <v/>
      </c>
      <c r="N16" s="22" t="str">
        <f>IF(OR($I16="-",N$3="-"),"",VLOOKUP($A$2&amp;O17,Data!E:G,2,FALSE))</f>
        <v/>
      </c>
      <c r="O16" s="40"/>
      <c r="P16" s="21" t="str">
        <f>IF(OR($I16="-",N$3="-"),"",VLOOKUP($A$2&amp;O17,Data!E:G,3,FALSE))</f>
        <v/>
      </c>
      <c r="Q16" s="41" t="str">
        <f>IF(OR($I16="-",N$3="-"),"",VLOOKUP($A$2&amp;O17,Data!$E:$Z,22,FALSE))</f>
        <v/>
      </c>
      <c r="R16" s="22" t="str">
        <f>IF(OR($I16="-",R$3="-"),"",VLOOKUP($A$2&amp;S17,Data!E:G,2,FALSE))</f>
        <v/>
      </c>
      <c r="S16" s="40"/>
      <c r="T16" s="21" t="str">
        <f>IF(OR($I16="-",R$3="-"),"",VLOOKUP($A$2&amp;S17,Data!E:G,3,FALSE))</f>
        <v/>
      </c>
      <c r="U16" s="41" t="str">
        <f>IF(OR($I16="-",R$3="-"),"",VLOOKUP($A$2&amp;S17,Data!$E:$Z,22,FALSE))</f>
        <v/>
      </c>
      <c r="V16" s="22" t="str">
        <f>IF(OR($I16="-",V$3="-"),"",VLOOKUP($A$2&amp;W17,Data!E:G,2,FALSE))</f>
        <v/>
      </c>
      <c r="W16" s="40"/>
      <c r="X16" s="21" t="str">
        <f>IF(OR($I16="-",V$3="-"),"",VLOOKUP($A$2&amp;W17,Data!E:G,3,FALSE))</f>
        <v/>
      </c>
      <c r="Y16" s="41" t="str">
        <f>IF(OR($I16="-",V$3="-"),"",VLOOKUP($A$2&amp;W17,Data!$E:$Z,22,FALSE))</f>
        <v/>
      </c>
      <c r="Z16" s="22" t="str">
        <f>IF(OR($I16="-",Z$3="-"),"",VLOOKUP($A$2&amp;$AA17,Data!E:G,2,FALSE))</f>
        <v/>
      </c>
      <c r="AA16" s="40"/>
      <c r="AB16" s="21" t="str">
        <f>IF(OR($I16="-",Z$3="-"),"",VLOOKUP($A$2&amp;AA17,Data!E:G,3,FALSE))</f>
        <v/>
      </c>
      <c r="AC16" s="41" t="str">
        <f>IF(OR($I16="-",Z$3="-"),"",VLOOKUP($A$2&amp;AA17,Data!$E:$Z,22,FALSE))</f>
        <v/>
      </c>
      <c r="AD16" s="22" t="str">
        <f>IF(OR($I16="-",AD$3="-"),"",VLOOKUP($A$2&amp;$AE17,Data!E:G,2,FALSE))</f>
        <v/>
      </c>
      <c r="AE16" s="40"/>
      <c r="AF16" s="21" t="str">
        <f>IF(OR($I16="-",AD$3="-"),"",VLOOKUP($A$2&amp;AE17,Data!E:G,3,FALSE))</f>
        <v/>
      </c>
      <c r="AG16" s="41" t="str">
        <f>IF(OR($I16="-",AD$3="-"),"",VLOOKUP($A$2&amp;AE17,Data!$E:$Z,22,FALSE))</f>
        <v/>
      </c>
      <c r="AH16" s="22" t="str">
        <f>IF(OR($I16="-",AH$3="-"),"",VLOOKUP($A$2&amp;$AI17,Data!E:G,2,FALSE))</f>
        <v/>
      </c>
      <c r="AI16" s="40"/>
      <c r="AJ16" s="21" t="str">
        <f>IF(OR($I16="-",AH$3="-"),"",VLOOKUP($A$2&amp;AI17,Data!E:G,3,FALSE))</f>
        <v/>
      </c>
      <c r="AK16" s="41" t="str">
        <f>IF(OR($I16="-",AH$3="-"),"",VLOOKUP($A$2&amp;AI17,Data!$E:$Z,22,FALSE))</f>
        <v/>
      </c>
      <c r="AL16" s="22" t="str">
        <f>IF(OR($I16="-",AL$3="-"),"",VLOOKUP($A$2&amp;$AM17,Data!E:G,2,FALSE))</f>
        <v/>
      </c>
      <c r="AM16" s="40"/>
      <c r="AN16" s="21" t="str">
        <f>IF(OR($I16="-",AL$3="-"),"",VLOOKUP($A$2&amp;AM17,Data!E:G,3,FALSE))</f>
        <v/>
      </c>
      <c r="AO16" s="41" t="str">
        <f>IF(OR($I16="-",AL$3="-"),"",VLOOKUP($A$2&amp;AM17,Data!$E:$Z,22,FALSE))</f>
        <v/>
      </c>
    </row>
    <row r="17" spans="8:41" ht="15.75" hidden="1" thickBot="1" x14ac:dyDescent="0.3">
      <c r="H17" s="15"/>
      <c r="I17" s="23" t="str">
        <f>IF(VLOOKUP(Calculator!$A$2,Data!$A:$Y,1,FALSE)=Calculator!$A$2, VLOOKUP($A$2&amp;$C$4,Data!$C:$Y,21,FALSE),"I am Error")</f>
        <v>-</v>
      </c>
      <c r="J17" s="36"/>
      <c r="K17" s="37" t="e">
        <f>VLOOKUP($I17,Lists!$AE$2:$AM$10,MATCH(K$3,Lists!$AE$2:$AM$2,0),FALSE)</f>
        <v>#N/A</v>
      </c>
      <c r="L17" s="37"/>
      <c r="M17" s="38" t="str">
        <f>IF(OR($I17="-",J$3="-"),"",VLOOKUP($A$2&amp;K18,Data!$E:$Z,22,FALSE))</f>
        <v/>
      </c>
      <c r="N17" s="36"/>
      <c r="O17" s="37" t="e">
        <f>VLOOKUP($I17,Lists!$AE$2:$AM$10,MATCH(O$3,Lists!$AE$2:$AM$2,0),FALSE)</f>
        <v>#N/A</v>
      </c>
      <c r="P17" s="37"/>
      <c r="Q17" s="38" t="str">
        <f>IF(OR($I17="-",N$3="-"),"",VLOOKUP($A$2&amp;O18,Data!$E:$Z,22,FALSE))</f>
        <v/>
      </c>
      <c r="R17" s="36"/>
      <c r="S17" s="37" t="e">
        <f>VLOOKUP($I17,Lists!$AE$2:$AM$10,MATCH(S$3,Lists!$AE$2:$AM$2,0),FALSE)</f>
        <v>#N/A</v>
      </c>
      <c r="T17" s="37"/>
      <c r="U17" s="38" t="str">
        <f>IF(OR($I17="-",R$3="-"),"",VLOOKUP($A$2&amp;S18,Data!$E:$Z,22,FALSE))</f>
        <v/>
      </c>
      <c r="V17" s="36"/>
      <c r="W17" s="37" t="e">
        <f>VLOOKUP($I17,Lists!$AE$2:$AM$10,MATCH(W$3,Lists!$AE$2:$AM$2,0),FALSE)</f>
        <v>#N/A</v>
      </c>
      <c r="X17" s="37"/>
      <c r="Y17" s="38" t="str">
        <f>IF(OR($I17="-",V$3="-"),"",VLOOKUP($A$2&amp;W18,Data!$E:$Z,22,FALSE))</f>
        <v/>
      </c>
      <c r="Z17" s="36"/>
      <c r="AA17" s="37" t="e">
        <f>VLOOKUP($I17,Lists!$AE$2:$AM$10,MATCH(AA$3,Lists!$AE$2:$AM$2,0),FALSE)</f>
        <v>#N/A</v>
      </c>
      <c r="AB17" s="37"/>
      <c r="AC17" s="38" t="str">
        <f>IF(OR($I17="-",Z$3="-"),"",VLOOKUP($A$2&amp;AA18,Data!$E:$Z,22,FALSE))</f>
        <v/>
      </c>
      <c r="AD17" s="36"/>
      <c r="AE17" s="37" t="e">
        <f>VLOOKUP($I17,Lists!$AE$2:$AM$10,MATCH(AE$3,Lists!$AE$2:$AM$2,0),FALSE)</f>
        <v>#N/A</v>
      </c>
      <c r="AF17" s="37"/>
      <c r="AG17" s="38" t="str">
        <f>IF(OR($I17="-",AD$3="-"),"",VLOOKUP($A$2&amp;AE18,Data!$E:$Z,22,FALSE))</f>
        <v/>
      </c>
      <c r="AH17" s="36"/>
      <c r="AI17" s="37" t="e">
        <f>VLOOKUP($I17,Lists!$AE$2:$AM$10,MATCH(AI$3,Lists!$AE$2:$AM$2,0),FALSE)</f>
        <v>#N/A</v>
      </c>
      <c r="AJ17" s="37"/>
      <c r="AK17" s="38" t="str">
        <f>IF(OR($I17="-",AH$3="-"),"",VLOOKUP($A$2&amp;AI18,Data!$E:$Z,22,FALSE))</f>
        <v/>
      </c>
      <c r="AL17" s="36"/>
      <c r="AM17" s="37" t="e">
        <f>VLOOKUP($I17,Lists!$AE$2:$AM$10,MATCH(AM$3,Lists!$AE$2:$AM$2,0),FALSE)</f>
        <v>#N/A</v>
      </c>
      <c r="AN17" s="37"/>
      <c r="AO17" s="38" t="str">
        <f>IF(OR($I17="-",AL$3="-"),"",VLOOKUP($A$2&amp;AM18,Data!$E:$Z,22,FALSE))</f>
        <v/>
      </c>
    </row>
    <row r="18" spans="8:41" ht="15.75" thickBot="1" x14ac:dyDescent="0.3">
      <c r="H18" s="15"/>
      <c r="I18" s="23" t="str">
        <f>IF(VLOOKUP(Calculator!$A$2,Data!$A:$Y,1,FALSE)=Calculator!$A$2, VLOOKUP($A$2&amp;$C$4,Data!$C:$Y,22,FALSE),"I am Error")</f>
        <v>-</v>
      </c>
      <c r="J18" s="22" t="str">
        <f>IF(OR($I18="-",J$3="-"),"",VLOOKUP($A$2&amp;K19,Data!E:G,2,FALSE))</f>
        <v/>
      </c>
      <c r="K18" s="40"/>
      <c r="L18" s="21" t="str">
        <f>IF(OR($I18="-",J$3="-"),"",VLOOKUP($A$2&amp;K19,Data!E:G,3,FALSE))</f>
        <v/>
      </c>
      <c r="M18" s="41" t="str">
        <f>IF(OR($I18="-",J$3="-"),"",VLOOKUP($A$2&amp;K19,Data!$E:$Z,22,FALSE))</f>
        <v/>
      </c>
      <c r="N18" s="22" t="str">
        <f>IF(OR($I18="-",N$3="-"),"",VLOOKUP($A$2&amp;O19,Data!E:G,2,FALSE))</f>
        <v/>
      </c>
      <c r="O18" s="40"/>
      <c r="P18" s="21" t="str">
        <f>IF(OR($I18="-",N$3="-"),"",VLOOKUP($A$2&amp;O19,Data!E:G,3,FALSE))</f>
        <v/>
      </c>
      <c r="Q18" s="41" t="str">
        <f>IF(OR($I18="-",N$3="-"),"",VLOOKUP($A$2&amp;O19,Data!$E:$Z,22,FALSE))</f>
        <v/>
      </c>
      <c r="R18" s="22" t="str">
        <f>IF(OR($I18="-",R$3="-"),"",VLOOKUP($A$2&amp;S19,Data!E:G,2,FALSE))</f>
        <v/>
      </c>
      <c r="S18" s="40"/>
      <c r="T18" s="21" t="str">
        <f>IF(OR($I18="-",R$3="-"),"",VLOOKUP($A$2&amp;S19,Data!E:G,3,FALSE))</f>
        <v/>
      </c>
      <c r="U18" s="41" t="str">
        <f>IF(OR($I18="-",R$3="-"),"",VLOOKUP($A$2&amp;S19,Data!$E:$Z,22,FALSE))</f>
        <v/>
      </c>
      <c r="V18" s="22" t="str">
        <f>IF(OR($I18="-",V$3="-"),"",VLOOKUP($A$2&amp;W19,Data!E:G,2,FALSE))</f>
        <v/>
      </c>
      <c r="W18" s="40"/>
      <c r="X18" s="21" t="str">
        <f>IF(OR($I18="-",V$3="-"),"",VLOOKUP($A$2&amp;W19,Data!E:G,3,FALSE))</f>
        <v/>
      </c>
      <c r="Y18" s="41" t="str">
        <f>IF(OR($I18="-",V$3="-"),"",VLOOKUP($A$2&amp;W19,Data!$E:$Z,22,FALSE))</f>
        <v/>
      </c>
      <c r="Z18" s="22" t="str">
        <f>IF(OR($I18="-",Z$3="-"),"",VLOOKUP($A$2&amp;$AA19,Data!E:G,2,FALSE))</f>
        <v/>
      </c>
      <c r="AA18" s="40"/>
      <c r="AB18" s="21" t="str">
        <f>IF(OR($I18="-",Z$3="-"),"",VLOOKUP($A$2&amp;AA19,Data!E:G,3,FALSE))</f>
        <v/>
      </c>
      <c r="AC18" s="41" t="str">
        <f>IF(OR($I18="-",Z$3="-"),"",VLOOKUP($A$2&amp;AA19,Data!$E:$Z,22,FALSE))</f>
        <v/>
      </c>
      <c r="AD18" s="22" t="str">
        <f>IF(OR($I18="-",AD$3="-"),"",VLOOKUP($A$2&amp;$AE19,Data!E:G,2,FALSE))</f>
        <v/>
      </c>
      <c r="AE18" s="40"/>
      <c r="AF18" s="21" t="str">
        <f>IF(OR($I18="-",AD$3="-"),"",VLOOKUP($A$2&amp;AE19,Data!E:G,3,FALSE))</f>
        <v/>
      </c>
      <c r="AG18" s="41" t="str">
        <f>IF(OR($I18="-",AD$3="-"),"",VLOOKUP($A$2&amp;AE19,Data!$E:$Z,22,FALSE))</f>
        <v/>
      </c>
      <c r="AH18" s="22" t="str">
        <f>IF(OR($I18="-",AH$3="-"),"",VLOOKUP($A$2&amp;$AI19,Data!E:G,2,FALSE))</f>
        <v/>
      </c>
      <c r="AI18" s="40"/>
      <c r="AJ18" s="21" t="str">
        <f>IF(OR($I18="-",AH$3="-"),"",VLOOKUP($A$2&amp;AI19,Data!E:G,3,FALSE))</f>
        <v/>
      </c>
      <c r="AK18" s="41" t="str">
        <f>IF(OR($I18="-",AH$3="-"),"",VLOOKUP($A$2&amp;AI19,Data!$E:$Z,22,FALSE))</f>
        <v/>
      </c>
      <c r="AL18" s="22" t="str">
        <f>IF(OR($I18="-",AL$3="-"),"",VLOOKUP($A$2&amp;$AM19,Data!E:G,2,FALSE))</f>
        <v/>
      </c>
      <c r="AM18" s="40"/>
      <c r="AN18" s="21" t="str">
        <f>IF(OR($I18="-",AL$3="-"),"",VLOOKUP($A$2&amp;AM19,Data!E:G,3,FALSE))</f>
        <v/>
      </c>
      <c r="AO18" s="41" t="str">
        <f>IF(OR($I18="-",AL$3="-"),"",VLOOKUP($A$2&amp;AM19,Data!$E:$Z,22,FALSE))</f>
        <v/>
      </c>
    </row>
    <row r="19" spans="8:41" ht="15.75" hidden="1" thickBot="1" x14ac:dyDescent="0.3">
      <c r="H19" s="15"/>
      <c r="I19" s="23" t="str">
        <f>IF(VLOOKUP(Calculator!$A$2,Data!$A:$Y,1,FALSE)=Calculator!$A$2, VLOOKUP($A$2&amp;$C$4,Data!$C:$Y,23,FALSE),"I am Error")</f>
        <v>-</v>
      </c>
      <c r="J19" s="36"/>
      <c r="K19" s="37" t="e">
        <f>VLOOKUP($I19,Lists!$AE$2:$AM$10,MATCH(K$3,Lists!$AE$2:$AM$2,0),FALSE)</f>
        <v>#N/A</v>
      </c>
      <c r="L19" s="37"/>
      <c r="M19" s="38"/>
      <c r="N19" s="36"/>
      <c r="O19" s="37" t="e">
        <f>VLOOKUP($I19,Lists!$AE$2:$AM$10,MATCH(O$3,Lists!$AE$2:$AM$2,0),FALSE)</f>
        <v>#N/A</v>
      </c>
      <c r="P19" s="37"/>
      <c r="Q19" s="38"/>
      <c r="R19" s="36"/>
      <c r="S19" s="37" t="e">
        <f>VLOOKUP($I19,Lists!$AE$2:$AM$10,MATCH(S$3,Lists!$AE$2:$AM$2,0),FALSE)</f>
        <v>#N/A</v>
      </c>
      <c r="T19" s="37"/>
      <c r="U19" s="38"/>
      <c r="V19" s="36"/>
      <c r="W19" s="37" t="e">
        <f>VLOOKUP($I19,Lists!$AE$2:$AM$10,MATCH(W$3,Lists!$AE$2:$AM$2,0),FALSE)</f>
        <v>#N/A</v>
      </c>
      <c r="X19" s="37"/>
      <c r="Y19" s="38"/>
      <c r="Z19" s="36"/>
      <c r="AA19" s="37" t="e">
        <f>VLOOKUP($I19,Lists!$AE$2:$AM$10,MATCH(AA$3,Lists!$AE$2:$AM$2,0),FALSE)</f>
        <v>#N/A</v>
      </c>
      <c r="AB19" s="37"/>
      <c r="AC19" s="38"/>
      <c r="AD19" s="36"/>
      <c r="AE19" s="37" t="e">
        <f>VLOOKUP($I19,Lists!$AE$2:$AM$10,MATCH(AE$3,Lists!$AE$2:$AM$2,0),FALSE)</f>
        <v>#N/A</v>
      </c>
      <c r="AF19" s="37"/>
      <c r="AG19" s="38"/>
      <c r="AH19" s="36"/>
      <c r="AI19" s="37" t="e">
        <f>VLOOKUP($I19,Lists!$AE$2:$AM$10,MATCH(AI$3,Lists!$AE$2:$AM$2,0),FALSE)</f>
        <v>#N/A</v>
      </c>
      <c r="AJ19" s="37"/>
      <c r="AK19" s="38"/>
      <c r="AL19" s="36"/>
      <c r="AM19" s="37" t="e">
        <f>VLOOKUP($I19,Lists!$AE$2:$AM$10,MATCH(AM$3,Lists!$AE$2:$AM$2,0),FALSE)</f>
        <v>#N/A</v>
      </c>
      <c r="AN19" s="37"/>
      <c r="AO19" s="38" t="str">
        <f>IF(OR($I19="-",AL$3="-"),"",VLOOKUP($A$2&amp;AM20,Data!$E:$Z,22,FALSE))</f>
        <v/>
      </c>
    </row>
    <row r="20" spans="8:41" ht="15.75" thickTop="1" x14ac:dyDescent="0.25">
      <c r="H20" s="39"/>
      <c r="I20" s="39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</row>
  </sheetData>
  <mergeCells count="2">
    <mergeCell ref="H4:H19"/>
    <mergeCell ref="J2:AO2"/>
  </mergeCells>
  <conditionalFormatting sqref="AF1:AG1 AJ1:AK1 AN1:AO1 AB1:AC1 X1:Y1 T1:U1 P1:Q1 M1 M20:M1048576 L4:L19 M3 T3:U1048576 P3:Q1048576 AJ3:AK3 AN3:AO3 X3:Y1048576 AB3:AC1048576 AF3:AG1048576 AJ19:AK1048576 AJ4:AJ18 AN20:AO1048576 AN4:AN19">
    <cfRule type="cellIs" dxfId="63" priority="57" operator="equal">
      <formula>"Green"</formula>
    </cfRule>
    <cfRule type="cellIs" dxfId="62" priority="58" operator="equal">
      <formula>"Purple"</formula>
    </cfRule>
    <cfRule type="cellIs" dxfId="61" priority="59" operator="equal">
      <formula>"Blue"</formula>
    </cfRule>
    <cfRule type="cellIs" dxfId="60" priority="60" operator="equal">
      <formula>"Yellow"</formula>
    </cfRule>
    <cfRule type="cellIs" dxfId="59" priority="61" operator="equal">
      <formula>"Pink"</formula>
    </cfRule>
    <cfRule type="cellIs" dxfId="58" priority="62" operator="equal">
      <formula>"Orange"</formula>
    </cfRule>
    <cfRule type="cellIs" dxfId="57" priority="63" operator="equal">
      <formula>"Black"</formula>
    </cfRule>
    <cfRule type="cellIs" dxfId="56" priority="64" operator="equal">
      <formula>"Red"</formula>
    </cfRule>
  </conditionalFormatting>
  <conditionalFormatting sqref="M19">
    <cfRule type="cellIs" dxfId="39" priority="33" operator="equal">
      <formula>"Green"</formula>
    </cfRule>
    <cfRule type="cellIs" dxfId="38" priority="34" operator="equal">
      <formula>"Purple"</formula>
    </cfRule>
    <cfRule type="cellIs" dxfId="37" priority="35" operator="equal">
      <formula>"Blue"</formula>
    </cfRule>
    <cfRule type="cellIs" dxfId="36" priority="36" operator="equal">
      <formula>"Yellow"</formula>
    </cfRule>
    <cfRule type="cellIs" dxfId="35" priority="37" operator="equal">
      <formula>"Pink"</formula>
    </cfRule>
    <cfRule type="cellIs" dxfId="34" priority="38" operator="equal">
      <formula>"Orange"</formula>
    </cfRule>
    <cfRule type="cellIs" dxfId="33" priority="39" operator="equal">
      <formula>"Black"</formula>
    </cfRule>
    <cfRule type="cellIs" dxfId="32" priority="40" operator="equal">
      <formula>"Red"</formula>
    </cfRule>
  </conditionalFormatting>
  <conditionalFormatting sqref="M4:M18">
    <cfRule type="cellIs" dxfId="15" priority="25" operator="equal">
      <formula>"Green"</formula>
    </cfRule>
    <cfRule type="cellIs" dxfId="14" priority="26" operator="equal">
      <formula>"Purple"</formula>
    </cfRule>
    <cfRule type="cellIs" dxfId="13" priority="27" operator="equal">
      <formula>"Blue"</formula>
    </cfRule>
    <cfRule type="cellIs" dxfId="12" priority="28" operator="equal">
      <formula>"Yellow"</formula>
    </cfRule>
    <cfRule type="cellIs" dxfId="11" priority="29" operator="equal">
      <formula>"Pink"</formula>
    </cfRule>
    <cfRule type="cellIs" dxfId="10" priority="30" operator="equal">
      <formula>"Orange"</formula>
    </cfRule>
    <cfRule type="cellIs" dxfId="9" priority="31" operator="equal">
      <formula>"Black"</formula>
    </cfRule>
    <cfRule type="cellIs" dxfId="8" priority="32" operator="equal">
      <formula>"Red"</formula>
    </cfRule>
  </conditionalFormatting>
  <conditionalFormatting sqref="AK4:AK18">
    <cfRule type="cellIs" dxfId="31" priority="17" operator="equal">
      <formula>"Green"</formula>
    </cfRule>
    <cfRule type="cellIs" dxfId="30" priority="18" operator="equal">
      <formula>"Purple"</formula>
    </cfRule>
    <cfRule type="cellIs" dxfId="29" priority="19" operator="equal">
      <formula>"Blue"</formula>
    </cfRule>
    <cfRule type="cellIs" dxfId="28" priority="20" operator="equal">
      <formula>"Yellow"</formula>
    </cfRule>
    <cfRule type="cellIs" dxfId="27" priority="21" operator="equal">
      <formula>"Pink"</formula>
    </cfRule>
    <cfRule type="cellIs" dxfId="26" priority="22" operator="equal">
      <formula>"Orange"</formula>
    </cfRule>
    <cfRule type="cellIs" dxfId="25" priority="23" operator="equal">
      <formula>"Black"</formula>
    </cfRule>
    <cfRule type="cellIs" dxfId="24" priority="24" operator="equal">
      <formula>"Red"</formula>
    </cfRule>
  </conditionalFormatting>
  <conditionalFormatting sqref="AO4:AO18">
    <cfRule type="cellIs" dxfId="23" priority="9" operator="equal">
      <formula>"Green"</formula>
    </cfRule>
    <cfRule type="cellIs" dxfId="22" priority="10" operator="equal">
      <formula>"Purple"</formula>
    </cfRule>
    <cfRule type="cellIs" dxfId="21" priority="11" operator="equal">
      <formula>"Blue"</formula>
    </cfRule>
    <cfRule type="cellIs" dxfId="20" priority="12" operator="equal">
      <formula>"Yellow"</formula>
    </cfRule>
    <cfRule type="cellIs" dxfId="19" priority="13" operator="equal">
      <formula>"Pink"</formula>
    </cfRule>
    <cfRule type="cellIs" dxfId="18" priority="14" operator="equal">
      <formula>"Orange"</formula>
    </cfRule>
    <cfRule type="cellIs" dxfId="17" priority="15" operator="equal">
      <formula>"Black"</formula>
    </cfRule>
    <cfRule type="cellIs" dxfId="16" priority="16" operator="equal">
      <formula>"Red"</formula>
    </cfRule>
  </conditionalFormatting>
  <conditionalFormatting sqref="AO19">
    <cfRule type="cellIs" dxfId="7" priority="1" operator="equal">
      <formula>"Green"</formula>
    </cfRule>
    <cfRule type="cellIs" dxfId="6" priority="2" operator="equal">
      <formula>"Purple"</formula>
    </cfRule>
    <cfRule type="cellIs" dxfId="5" priority="3" operator="equal">
      <formula>"Blue"</formula>
    </cfRule>
    <cfRule type="cellIs" dxfId="4" priority="4" operator="equal">
      <formula>"Yellow"</formula>
    </cfRule>
    <cfRule type="cellIs" dxfId="3" priority="5" operator="equal">
      <formula>"Pink"</formula>
    </cfRule>
    <cfRule type="cellIs" dxfId="2" priority="6" operator="equal">
      <formula>"Orange"</formula>
    </cfRule>
    <cfRule type="cellIs" dxfId="1" priority="7" operator="equal">
      <formula>"Black"</formula>
    </cfRule>
    <cfRule type="cellIs" dxfId="0" priority="8" operator="equal">
      <formula>"Red"</formula>
    </cfRule>
  </conditionalFormatting>
  <dataValidations count="1">
    <dataValidation type="list" allowBlank="1" showInputMessage="1" showErrorMessage="1" sqref="C2 C4" xr:uid="{827A5857-7DD0-4384-909A-BFC32C1BDC23}">
      <formula1>INDIRECT($A$2)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5" r:id="rId4" name="Button 23">
              <controlPr defaultSize="0" print="0" autoFill="0" autoPict="0" macro="[0]!Macro3">
                <anchor moveWithCells="1" sizeWithCells="1">
                  <from>
                    <xdr:col>0</xdr:col>
                    <xdr:colOff>342900</xdr:colOff>
                    <xdr:row>7</xdr:row>
                    <xdr:rowOff>38100</xdr:rowOff>
                  </from>
                  <to>
                    <xdr:col>2</xdr:col>
                    <xdr:colOff>714375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941469-BA6B-48F9-8F17-10BE2C57AE2E}">
          <x14:formula1>
            <xm:f>Lists!$A$1:$G$1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00F7B-A154-48BC-B0A9-3DB1B3946CB9}">
  <dimension ref="A1:Z190"/>
  <sheetViews>
    <sheetView workbookViewId="0">
      <selection activeCell="C17" sqref="C17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19" style="16" bestFit="1" customWidth="1"/>
    <col min="4" max="4" width="11.85546875" customWidth="1"/>
    <col min="5" max="5" width="15.7109375" style="16" bestFit="1" customWidth="1"/>
    <col min="6" max="6" width="9.7109375" style="16" bestFit="1" customWidth="1"/>
    <col min="7" max="7" width="11.85546875" customWidth="1"/>
    <col min="8" max="8" width="9.7109375" style="16" customWidth="1"/>
    <col min="9" max="9" width="11.42578125" style="16" bestFit="1" customWidth="1"/>
    <col min="10" max="25" width="9.140625" style="16"/>
    <col min="26" max="26" width="19" style="13" bestFit="1" customWidth="1"/>
  </cols>
  <sheetData>
    <row r="1" spans="1:26" x14ac:dyDescent="0.25">
      <c r="A1" t="s">
        <v>66</v>
      </c>
      <c r="B1" t="s">
        <v>74</v>
      </c>
      <c r="C1" s="16" t="s">
        <v>66</v>
      </c>
      <c r="D1" t="s">
        <v>100</v>
      </c>
      <c r="E1" s="16" t="s">
        <v>139</v>
      </c>
      <c r="F1" s="16" t="s">
        <v>67</v>
      </c>
      <c r="G1" t="s">
        <v>64</v>
      </c>
      <c r="H1" s="16" t="s">
        <v>70</v>
      </c>
      <c r="I1" s="16" t="s">
        <v>71</v>
      </c>
      <c r="J1" s="16" t="s">
        <v>124</v>
      </c>
      <c r="K1" s="16" t="s">
        <v>122</v>
      </c>
      <c r="L1" s="16" t="s">
        <v>125</v>
      </c>
      <c r="M1" s="16" t="s">
        <v>123</v>
      </c>
      <c r="N1" s="16" t="s">
        <v>126</v>
      </c>
      <c r="O1" s="16" t="s">
        <v>129</v>
      </c>
      <c r="P1" s="16" t="s">
        <v>127</v>
      </c>
      <c r="Q1" s="16" t="s">
        <v>130</v>
      </c>
      <c r="R1" s="16" t="s">
        <v>128</v>
      </c>
      <c r="S1" s="16" t="s">
        <v>131</v>
      </c>
      <c r="T1" s="16" t="s">
        <v>132</v>
      </c>
      <c r="U1" s="16" t="s">
        <v>133</v>
      </c>
      <c r="V1" s="16" t="s">
        <v>134</v>
      </c>
      <c r="W1" s="16" t="s">
        <v>135</v>
      </c>
      <c r="X1" s="16" t="s">
        <v>136</v>
      </c>
      <c r="Y1" s="16" t="s">
        <v>137</v>
      </c>
      <c r="Z1" s="31" t="s">
        <v>142</v>
      </c>
    </row>
    <row r="2" spans="1:26" x14ac:dyDescent="0.25">
      <c r="A2" t="s">
        <v>68</v>
      </c>
      <c r="B2" t="s">
        <v>77</v>
      </c>
      <c r="C2" s="16" t="str">
        <f>A2&amp;B2</f>
        <v>CosmosRed Seed</v>
      </c>
      <c r="D2" s="8">
        <v>311</v>
      </c>
      <c r="E2" s="30" t="str">
        <f>A2&amp;D2</f>
        <v>Cosmos311</v>
      </c>
      <c r="F2" s="29" t="str">
        <f>VLOOKUP($D2,Lists!$J$1:$AB$29,2,FALSE)</f>
        <v>RR-yy-ss</v>
      </c>
      <c r="G2" t="s">
        <v>94</v>
      </c>
      <c r="H2" s="29" t="str">
        <f>VLOOKUP($D2,Lists!$J$1:$AB$29,3,FALSE)</f>
        <v>-</v>
      </c>
      <c r="I2" s="29">
        <f>VLOOKUP($D2,Lists!$J$1:$AB$29,4,FALSE)</f>
        <v>1</v>
      </c>
      <c r="J2" s="29" t="str">
        <f>VLOOKUP($D2,Lists!$J$1:$AB$29,5,FALSE)</f>
        <v>Rys</v>
      </c>
      <c r="K2" s="29">
        <f>VLOOKUP($D2,Lists!$J$1:$AB$29,6,FALSE)</f>
        <v>211</v>
      </c>
      <c r="L2" s="29" t="str">
        <f>VLOOKUP($D2,Lists!$J$1:$AB$29,7,FALSE)</f>
        <v>-</v>
      </c>
      <c r="M2" s="29" t="str">
        <f>VLOOKUP($D2,Lists!$J$1:$AB$29,8,FALSE)</f>
        <v>-</v>
      </c>
      <c r="N2" s="29" t="str">
        <f>VLOOKUP($D2,Lists!$J$1:$AB$29,9,FALSE)</f>
        <v>-</v>
      </c>
      <c r="O2" s="29" t="str">
        <f>VLOOKUP($D2,Lists!$J$1:$AB$29,10,FALSE)</f>
        <v>-</v>
      </c>
      <c r="P2" s="29" t="str">
        <f>VLOOKUP($D2,Lists!$J$1:$AB$29,11,FALSE)</f>
        <v>-</v>
      </c>
      <c r="Q2" s="29" t="str">
        <f>VLOOKUP($D2,Lists!$J$1:$AB$29,12,FALSE)</f>
        <v>-</v>
      </c>
      <c r="R2" s="29" t="str">
        <f>VLOOKUP($D2,Lists!$J$1:$AB$29,13,FALSE)</f>
        <v>-</v>
      </c>
      <c r="S2" s="29" t="str">
        <f>VLOOKUP($D2,Lists!$J$1:$AB$29,14,FALSE)</f>
        <v>-</v>
      </c>
      <c r="T2" s="29" t="str">
        <f>VLOOKUP($D2,Lists!$J$1:$AB$29,15,FALSE)</f>
        <v>-</v>
      </c>
      <c r="U2" s="29" t="str">
        <f>VLOOKUP($D2,Lists!$J$1:$AB$29,16,FALSE)</f>
        <v>-</v>
      </c>
      <c r="V2" s="29" t="str">
        <f>VLOOKUP($D2,Lists!$J$1:$AB$29,17,FALSE)</f>
        <v>-</v>
      </c>
      <c r="W2" s="29" t="str">
        <f>VLOOKUP($D2,Lists!$J$1:$AB$29,18,FALSE)</f>
        <v>-</v>
      </c>
      <c r="X2" s="29" t="str">
        <f>VLOOKUP($D2,Lists!$J$1:$AB$29,19,FALSE)</f>
        <v>-</v>
      </c>
      <c r="Y2" s="29" t="str">
        <f>VLOOKUP($D2,Lists!$J$1:$AC$29,20,FALSE)</f>
        <v>-</v>
      </c>
      <c r="Z2" s="32" t="s">
        <v>141</v>
      </c>
    </row>
    <row r="3" spans="1:26" x14ac:dyDescent="0.25">
      <c r="A3" t="s">
        <v>68</v>
      </c>
      <c r="B3" t="s">
        <v>84</v>
      </c>
      <c r="C3" s="16" t="str">
        <f>A3&amp;B3</f>
        <v>CosmosYellow Seed</v>
      </c>
      <c r="D3" s="8">
        <f>132</f>
        <v>132</v>
      </c>
      <c r="E3" s="30" t="str">
        <f>A3&amp;D3</f>
        <v>Cosmos132</v>
      </c>
      <c r="F3" s="29" t="str">
        <f>VLOOKUP($D3,Lists!$J$1:$AB$29,2,FALSE)</f>
        <v>rr-YY-Ss</v>
      </c>
      <c r="G3" t="s">
        <v>95</v>
      </c>
      <c r="H3" s="29" t="str">
        <f>VLOOKUP($D3,Lists!$J$1:$AB$29,3,FALSE)</f>
        <v>S</v>
      </c>
      <c r="I3" s="29">
        <f>VLOOKUP($D3,Lists!$J$1:$AB$29,4,FALSE)</f>
        <v>2</v>
      </c>
      <c r="J3" s="29" t="str">
        <f>VLOOKUP($D3,Lists!$J$1:$AB$29,5,FALSE)</f>
        <v>rYs</v>
      </c>
      <c r="K3" s="29">
        <f>VLOOKUP($D3,Lists!$J$1:$AB$29,6,FALSE)</f>
        <v>121</v>
      </c>
      <c r="L3" s="29" t="str">
        <f>VLOOKUP($D3,Lists!$J$1:$AB$29,7,FALSE)</f>
        <v>rYS</v>
      </c>
      <c r="M3" s="29">
        <f>VLOOKUP($D3,Lists!$J$1:$AB$29,8,FALSE)</f>
        <v>122</v>
      </c>
      <c r="N3" s="29" t="str">
        <f>VLOOKUP($D3,Lists!$J$1:$AB$29,9,FALSE)</f>
        <v>-</v>
      </c>
      <c r="O3" s="29" t="str">
        <f>VLOOKUP($D3,Lists!$J$1:$AB$29,10,FALSE)</f>
        <v>-</v>
      </c>
      <c r="P3" s="29" t="str">
        <f>VLOOKUP($D3,Lists!$J$1:$AB$29,11,FALSE)</f>
        <v>-</v>
      </c>
      <c r="Q3" s="29" t="str">
        <f>VLOOKUP($D3,Lists!$J$1:$AB$29,12,FALSE)</f>
        <v>-</v>
      </c>
      <c r="R3" s="29" t="str">
        <f>VLOOKUP($D3,Lists!$J$1:$AB$29,13,FALSE)</f>
        <v>-</v>
      </c>
      <c r="S3" s="29" t="str">
        <f>VLOOKUP($D3,Lists!$J$1:$AB$29,14,FALSE)</f>
        <v>-</v>
      </c>
      <c r="T3" s="29" t="str">
        <f>VLOOKUP($D3,Lists!$J$1:$AB$29,15,FALSE)</f>
        <v>-</v>
      </c>
      <c r="U3" s="29" t="str">
        <f>VLOOKUP($D3,Lists!$J$1:$AB$29,16,FALSE)</f>
        <v>-</v>
      </c>
      <c r="V3" s="29" t="str">
        <f>VLOOKUP($D3,Lists!$J$1:$AB$29,17,FALSE)</f>
        <v>-</v>
      </c>
      <c r="W3" s="29" t="str">
        <f>VLOOKUP($D3,Lists!$J$1:$AB$29,18,FALSE)</f>
        <v>-</v>
      </c>
      <c r="X3" s="29" t="str">
        <f>VLOOKUP($D3,Lists!$J$1:$AB$29,19,FALSE)</f>
        <v>-</v>
      </c>
      <c r="Y3" s="29" t="str">
        <f>VLOOKUP($D3,Lists!$J$1:$AC$29,20,FALSE)</f>
        <v>-</v>
      </c>
      <c r="Z3" s="32" t="s">
        <v>141</v>
      </c>
    </row>
    <row r="4" spans="1:26" x14ac:dyDescent="0.25">
      <c r="A4" t="s">
        <v>68</v>
      </c>
      <c r="B4" t="s">
        <v>85</v>
      </c>
      <c r="C4" s="16" t="str">
        <f>A4&amp;B4</f>
        <v>CosmosWhite Seed</v>
      </c>
      <c r="D4" s="8">
        <f>112</f>
        <v>112</v>
      </c>
      <c r="E4" s="30" t="str">
        <f>A4&amp;D4</f>
        <v>Cosmos112</v>
      </c>
      <c r="F4" s="29" t="str">
        <f>VLOOKUP($D4,Lists!$J$1:$AB$29,2,FALSE)</f>
        <v>rr-yy-Ss</v>
      </c>
      <c r="G4" t="s">
        <v>96</v>
      </c>
      <c r="H4" s="29" t="str">
        <f>VLOOKUP($D4,Lists!$J$1:$AB$29,3,FALSE)</f>
        <v>S</v>
      </c>
      <c r="I4" s="29">
        <f>VLOOKUP($D4,Lists!$J$1:$AB$29,4,FALSE)</f>
        <v>2</v>
      </c>
      <c r="J4" s="29" t="str">
        <f>VLOOKUP($D4,Lists!$J$1:$AB$29,5,FALSE)</f>
        <v>rys</v>
      </c>
      <c r="K4" s="29">
        <f>VLOOKUP($D4,Lists!$J$1:$AB$29,6,FALSE)</f>
        <v>111</v>
      </c>
      <c r="L4" s="29" t="str">
        <f>VLOOKUP($D4,Lists!$J$1:$AB$29,7,FALSE)</f>
        <v>ryS</v>
      </c>
      <c r="M4" s="29">
        <f>VLOOKUP($D4,Lists!$J$1:$AB$29,8,FALSE)</f>
        <v>112</v>
      </c>
      <c r="N4" s="29" t="str">
        <f>VLOOKUP($D4,Lists!$J$1:$AB$29,9,FALSE)</f>
        <v>-</v>
      </c>
      <c r="O4" s="29" t="str">
        <f>VLOOKUP($D4,Lists!$J$1:$AB$29,10,FALSE)</f>
        <v>-</v>
      </c>
      <c r="P4" s="29" t="str">
        <f>VLOOKUP($D4,Lists!$J$1:$AB$29,11,FALSE)</f>
        <v>-</v>
      </c>
      <c r="Q4" s="29" t="str">
        <f>VLOOKUP($D4,Lists!$J$1:$AB$29,12,FALSE)</f>
        <v>-</v>
      </c>
      <c r="R4" s="29" t="str">
        <f>VLOOKUP($D4,Lists!$J$1:$AB$29,13,FALSE)</f>
        <v>-</v>
      </c>
      <c r="S4" s="29" t="str">
        <f>VLOOKUP($D4,Lists!$J$1:$AB$29,14,FALSE)</f>
        <v>-</v>
      </c>
      <c r="T4" s="29" t="str">
        <f>VLOOKUP($D4,Lists!$J$1:$AB$29,15,FALSE)</f>
        <v>-</v>
      </c>
      <c r="U4" s="29" t="str">
        <f>VLOOKUP($D4,Lists!$J$1:$AB$29,16,FALSE)</f>
        <v>-</v>
      </c>
      <c r="V4" s="29" t="str">
        <f>VLOOKUP($D4,Lists!$J$1:$AB$29,17,FALSE)</f>
        <v>-</v>
      </c>
      <c r="W4" s="29" t="str">
        <f>VLOOKUP($D4,Lists!$J$1:$AB$29,18,FALSE)</f>
        <v>-</v>
      </c>
      <c r="X4" s="29" t="str">
        <f>VLOOKUP($D4,Lists!$J$1:$AB$29,19,FALSE)</f>
        <v>-</v>
      </c>
      <c r="Y4" s="29" t="str">
        <f>VLOOKUP($D4,Lists!$J$1:$AC$29,20,FALSE)</f>
        <v>-</v>
      </c>
      <c r="Z4" s="32" t="s">
        <v>141</v>
      </c>
    </row>
    <row r="5" spans="1:26" x14ac:dyDescent="0.25">
      <c r="A5" t="s">
        <v>68</v>
      </c>
      <c r="B5" t="s">
        <v>18</v>
      </c>
      <c r="C5" s="16" t="str">
        <f>A5&amp;B5</f>
        <v>CosmosOrange 1</v>
      </c>
      <c r="D5" s="8">
        <f>222</f>
        <v>222</v>
      </c>
      <c r="E5" s="30" t="str">
        <f>A5&amp;D5</f>
        <v>Cosmos222</v>
      </c>
      <c r="F5" s="29" t="str">
        <f>VLOOKUP($D5,Lists!$J$1:$AB$29,2,FALSE)</f>
        <v>Rr-Yy-Ss</v>
      </c>
      <c r="G5" t="s">
        <v>97</v>
      </c>
      <c r="H5" s="29" t="str">
        <f>VLOOKUP($D5,Lists!$J$1:$AB$29,3,FALSE)</f>
        <v>RYS</v>
      </c>
      <c r="I5" s="29">
        <f>VLOOKUP($D5,Lists!$J$1:$AB$29,4,FALSE)</f>
        <v>8</v>
      </c>
      <c r="J5" s="29" t="str">
        <f>VLOOKUP($D5,Lists!$J$1:$AB$29,5,FALSE)</f>
        <v>RYS</v>
      </c>
      <c r="K5" s="29">
        <f>VLOOKUP($D5,Lists!$J$1:$AB$29,6,FALSE)</f>
        <v>222</v>
      </c>
      <c r="L5" s="29" t="str">
        <f>VLOOKUP($D5,Lists!$J$1:$AB$29,7,FALSE)</f>
        <v>RyS</v>
      </c>
      <c r="M5" s="29">
        <f>VLOOKUP($D5,Lists!$J$1:$AB$29,8,FALSE)</f>
        <v>212</v>
      </c>
      <c r="N5" s="29" t="str">
        <f>VLOOKUP($D5,Lists!$J$1:$AB$29,9,FALSE)</f>
        <v>RYs</v>
      </c>
      <c r="O5" s="29">
        <f>VLOOKUP($D5,Lists!$J$1:$AB$29,10,FALSE)</f>
        <v>221</v>
      </c>
      <c r="P5" s="29" t="str">
        <f>VLOOKUP($D5,Lists!$J$1:$AB$29,11,FALSE)</f>
        <v>Rys</v>
      </c>
      <c r="Q5" s="29">
        <f>VLOOKUP($D5,Lists!$J$1:$AB$29,12,FALSE)</f>
        <v>211</v>
      </c>
      <c r="R5" s="29" t="str">
        <f>VLOOKUP($D5,Lists!$J$1:$AB$29,13,FALSE)</f>
        <v>rYS</v>
      </c>
      <c r="S5" s="29">
        <f>VLOOKUP($D5,Lists!$J$1:$AB$29,14,FALSE)</f>
        <v>122</v>
      </c>
      <c r="T5" s="29" t="str">
        <f>VLOOKUP($D5,Lists!$J$1:$AB$29,15,FALSE)</f>
        <v>ryS</v>
      </c>
      <c r="U5" s="29">
        <f>VLOOKUP($D5,Lists!$J$1:$AB$29,16,FALSE)</f>
        <v>112</v>
      </c>
      <c r="V5" s="29" t="str">
        <f>VLOOKUP($D5,Lists!$J$1:$AB$29,17,FALSE)</f>
        <v>rYs</v>
      </c>
      <c r="W5" s="29">
        <f>VLOOKUP($D5,Lists!$J$1:$AB$29,18,FALSE)</f>
        <v>121</v>
      </c>
      <c r="X5" s="29" t="str">
        <f>VLOOKUP($D5,Lists!$J$1:$AB$29,19,FALSE)</f>
        <v>rys</v>
      </c>
      <c r="Y5" s="29">
        <f>VLOOKUP($D5,Lists!$J$1:$AC$29,20,FALSE)</f>
        <v>111</v>
      </c>
      <c r="Z5" s="32" t="str">
        <f t="shared" ref="Z3:Z66" si="0">RIGHT(B5,1)</f>
        <v>1</v>
      </c>
    </row>
    <row r="6" spans="1:26" x14ac:dyDescent="0.25">
      <c r="A6" t="s">
        <v>68</v>
      </c>
      <c r="B6" t="s">
        <v>19</v>
      </c>
      <c r="C6" s="16" t="str">
        <f>A6&amp;B6</f>
        <v>CosmosOrange 2</v>
      </c>
      <c r="D6" s="8">
        <f>221</f>
        <v>221</v>
      </c>
      <c r="E6" s="30" t="str">
        <f>A6&amp;D6</f>
        <v>Cosmos221</v>
      </c>
      <c r="F6" s="29" t="str">
        <f>VLOOKUP($D6,Lists!$J$1:$AB$29,2,FALSE)</f>
        <v>Rr-Yy-ss</v>
      </c>
      <c r="G6" t="s">
        <v>97</v>
      </c>
      <c r="H6" s="29" t="str">
        <f>VLOOKUP($D6,Lists!$J$1:$AB$29,3,FALSE)</f>
        <v>RY</v>
      </c>
      <c r="I6" s="29">
        <f>VLOOKUP($D6,Lists!$J$1:$AB$29,4,FALSE)</f>
        <v>4</v>
      </c>
      <c r="J6" s="29" t="str">
        <f>VLOOKUP($D6,Lists!$J$1:$AB$29,5,FALSE)</f>
        <v>RYs</v>
      </c>
      <c r="K6" s="29">
        <f>VLOOKUP($D6,Lists!$J$1:$AB$29,6,FALSE)</f>
        <v>221</v>
      </c>
      <c r="L6" s="29" t="str">
        <f>VLOOKUP($D6,Lists!$J$1:$AB$29,7,FALSE)</f>
        <v>Rys</v>
      </c>
      <c r="M6" s="29">
        <f>VLOOKUP($D6,Lists!$J$1:$AB$29,8,FALSE)</f>
        <v>211</v>
      </c>
      <c r="N6" s="29" t="str">
        <f>VLOOKUP($D6,Lists!$J$1:$AB$29,9,FALSE)</f>
        <v>rYs</v>
      </c>
      <c r="O6" s="29">
        <f>VLOOKUP($D6,Lists!$J$1:$AB$29,10,FALSE)</f>
        <v>121</v>
      </c>
      <c r="P6" s="29" t="str">
        <f>VLOOKUP($D6,Lists!$J$1:$AB$29,11,FALSE)</f>
        <v>rys</v>
      </c>
      <c r="Q6" s="29">
        <f>VLOOKUP($D6,Lists!$J$1:$AB$29,12,FALSE)</f>
        <v>111</v>
      </c>
      <c r="R6" s="29" t="str">
        <f>VLOOKUP($D6,Lists!$J$1:$AB$29,13,FALSE)</f>
        <v>-</v>
      </c>
      <c r="S6" s="29" t="str">
        <f>VLOOKUP($D6,Lists!$J$1:$AB$29,14,FALSE)</f>
        <v>-</v>
      </c>
      <c r="T6" s="29" t="str">
        <f>VLOOKUP($D6,Lists!$J$1:$AB$29,15,FALSE)</f>
        <v>-</v>
      </c>
      <c r="U6" s="29" t="str">
        <f>VLOOKUP($D6,Lists!$J$1:$AB$29,16,FALSE)</f>
        <v>-</v>
      </c>
      <c r="V6" s="29" t="str">
        <f>VLOOKUP($D6,Lists!$J$1:$AB$29,17,FALSE)</f>
        <v>-</v>
      </c>
      <c r="W6" s="29" t="str">
        <f>VLOOKUP($D6,Lists!$J$1:$AB$29,18,FALSE)</f>
        <v>-</v>
      </c>
      <c r="X6" s="29" t="str">
        <f>VLOOKUP($D6,Lists!$J$1:$AB$29,19,FALSE)</f>
        <v>-</v>
      </c>
      <c r="Y6" s="29" t="str">
        <f>VLOOKUP($D6,Lists!$J$1:$AC$29,20,FALSE)</f>
        <v>-</v>
      </c>
      <c r="Z6" s="32" t="str">
        <f t="shared" si="0"/>
        <v>2</v>
      </c>
    </row>
    <row r="7" spans="1:26" x14ac:dyDescent="0.25">
      <c r="A7" t="s">
        <v>68</v>
      </c>
      <c r="B7" t="s">
        <v>16</v>
      </c>
      <c r="C7" s="16" t="str">
        <f>A7&amp;B7</f>
        <v>CosmosPink 1</v>
      </c>
      <c r="D7" s="8">
        <f>212</f>
        <v>212</v>
      </c>
      <c r="E7" s="30" t="str">
        <f>A7&amp;D7</f>
        <v>Cosmos212</v>
      </c>
      <c r="F7" s="29" t="str">
        <f>VLOOKUP($D7,Lists!$J$1:$AB$29,2,FALSE)</f>
        <v>Rr-yy-Ss</v>
      </c>
      <c r="G7" t="s">
        <v>98</v>
      </c>
      <c r="H7" s="29" t="str">
        <f>VLOOKUP($D7,Lists!$J$1:$AB$29,3,FALSE)</f>
        <v>RS</v>
      </c>
      <c r="I7" s="29">
        <f>VLOOKUP($D7,Lists!$J$1:$AB$29,4,FALSE)</f>
        <v>4</v>
      </c>
      <c r="J7" s="29" t="str">
        <f>VLOOKUP($D7,Lists!$J$1:$AB$29,5,FALSE)</f>
        <v>RyS</v>
      </c>
      <c r="K7" s="29">
        <f>VLOOKUP($D7,Lists!$J$1:$AB$29,6,FALSE)</f>
        <v>212</v>
      </c>
      <c r="L7" s="29" t="str">
        <f>VLOOKUP($D7,Lists!$J$1:$AB$29,7,FALSE)</f>
        <v>Rys</v>
      </c>
      <c r="M7" s="29">
        <f>VLOOKUP($D7,Lists!$J$1:$AB$29,8,FALSE)</f>
        <v>211</v>
      </c>
      <c r="N7" s="29" t="str">
        <f>VLOOKUP($D7,Lists!$J$1:$AB$29,9,FALSE)</f>
        <v>ryS</v>
      </c>
      <c r="O7" s="29">
        <f>VLOOKUP($D7,Lists!$J$1:$AB$29,10,FALSE)</f>
        <v>112</v>
      </c>
      <c r="P7" s="29" t="str">
        <f>VLOOKUP($D7,Lists!$J$1:$AB$29,11,FALSE)</f>
        <v>rys</v>
      </c>
      <c r="Q7" s="29">
        <f>VLOOKUP($D7,Lists!$J$1:$AB$29,12,FALSE)</f>
        <v>111</v>
      </c>
      <c r="R7" s="29" t="str">
        <f>VLOOKUP($D7,Lists!$J$1:$AB$29,13,FALSE)</f>
        <v>-</v>
      </c>
      <c r="S7" s="29" t="str">
        <f>VLOOKUP($D7,Lists!$J$1:$AB$29,14,FALSE)</f>
        <v>-</v>
      </c>
      <c r="T7" s="29" t="str">
        <f>VLOOKUP($D7,Lists!$J$1:$AB$29,15,FALSE)</f>
        <v>-</v>
      </c>
      <c r="U7" s="29" t="str">
        <f>VLOOKUP($D7,Lists!$J$1:$AB$29,16,FALSE)</f>
        <v>-</v>
      </c>
      <c r="V7" s="29" t="str">
        <f>VLOOKUP($D7,Lists!$J$1:$AB$29,17,FALSE)</f>
        <v>-</v>
      </c>
      <c r="W7" s="29" t="str">
        <f>VLOOKUP($D7,Lists!$J$1:$AB$29,18,FALSE)</f>
        <v>-</v>
      </c>
      <c r="X7" s="29" t="str">
        <f>VLOOKUP($D7,Lists!$J$1:$AB$29,19,FALSE)</f>
        <v>-</v>
      </c>
      <c r="Y7" s="29" t="str">
        <f>VLOOKUP($D7,Lists!$J$1:$AC$29,20,FALSE)</f>
        <v>-</v>
      </c>
      <c r="Z7" s="32" t="str">
        <f t="shared" si="0"/>
        <v>1</v>
      </c>
    </row>
    <row r="8" spans="1:26" x14ac:dyDescent="0.25">
      <c r="A8" t="s">
        <v>68</v>
      </c>
      <c r="B8" t="s">
        <v>17</v>
      </c>
      <c r="C8" s="16" t="str">
        <f>A8&amp;B8</f>
        <v>CosmosPink 2</v>
      </c>
      <c r="D8" s="8">
        <f>211</f>
        <v>211</v>
      </c>
      <c r="E8" s="30" t="str">
        <f>A8&amp;D8</f>
        <v>Cosmos211</v>
      </c>
      <c r="F8" s="29" t="str">
        <f>VLOOKUP($D8,Lists!$J$1:$AB$29,2,FALSE)</f>
        <v>Rr-yy-ss</v>
      </c>
      <c r="G8" t="s">
        <v>98</v>
      </c>
      <c r="H8" s="29" t="str">
        <f>VLOOKUP($D8,Lists!$J$1:$AB$29,3,FALSE)</f>
        <v>R</v>
      </c>
      <c r="I8" s="29">
        <f>VLOOKUP($D8,Lists!$J$1:$AB$29,4,FALSE)</f>
        <v>2</v>
      </c>
      <c r="J8" s="29" t="str">
        <f>VLOOKUP($D8,Lists!$J$1:$AB$29,5,FALSE)</f>
        <v>Rys</v>
      </c>
      <c r="K8" s="29">
        <f>VLOOKUP($D8,Lists!$J$1:$AB$29,6,FALSE)</f>
        <v>211</v>
      </c>
      <c r="L8" s="29" t="str">
        <f>VLOOKUP($D8,Lists!$J$1:$AB$29,7,FALSE)</f>
        <v xml:space="preserve">rys </v>
      </c>
      <c r="M8" s="29">
        <f>VLOOKUP($D8,Lists!$J$1:$AB$29,8,FALSE)</f>
        <v>111</v>
      </c>
      <c r="N8" s="29" t="str">
        <f>VLOOKUP($D8,Lists!$J$1:$AB$29,9,FALSE)</f>
        <v>-</v>
      </c>
      <c r="O8" s="29" t="str">
        <f>VLOOKUP($D8,Lists!$J$1:$AB$29,10,FALSE)</f>
        <v>-</v>
      </c>
      <c r="P8" s="29" t="str">
        <f>VLOOKUP($D8,Lists!$J$1:$AB$29,11,FALSE)</f>
        <v>-</v>
      </c>
      <c r="Q8" s="29" t="str">
        <f>VLOOKUP($D8,Lists!$J$1:$AB$29,12,FALSE)</f>
        <v>-</v>
      </c>
      <c r="R8" s="29" t="str">
        <f>VLOOKUP($D8,Lists!$J$1:$AB$29,13,FALSE)</f>
        <v>-</v>
      </c>
      <c r="S8" s="29" t="str">
        <f>VLOOKUP($D8,Lists!$J$1:$AB$29,14,FALSE)</f>
        <v>-</v>
      </c>
      <c r="T8" s="29" t="str">
        <f>VLOOKUP($D8,Lists!$J$1:$AB$29,15,FALSE)</f>
        <v>-</v>
      </c>
      <c r="U8" s="29" t="str">
        <f>VLOOKUP($D8,Lists!$J$1:$AB$29,16,FALSE)</f>
        <v>-</v>
      </c>
      <c r="V8" s="29" t="str">
        <f>VLOOKUP($D8,Lists!$J$1:$AB$29,17,FALSE)</f>
        <v>-</v>
      </c>
      <c r="W8" s="29" t="str">
        <f>VLOOKUP($D8,Lists!$J$1:$AB$29,18,FALSE)</f>
        <v>-</v>
      </c>
      <c r="X8" s="29" t="str">
        <f>VLOOKUP($D8,Lists!$J$1:$AB$29,19,FALSE)</f>
        <v>-</v>
      </c>
      <c r="Y8" s="29" t="str">
        <f>VLOOKUP($D8,Lists!$J$1:$AC$29,20,FALSE)</f>
        <v>-</v>
      </c>
      <c r="Z8" s="32" t="str">
        <f t="shared" si="0"/>
        <v>2</v>
      </c>
    </row>
    <row r="9" spans="1:26" x14ac:dyDescent="0.25">
      <c r="A9" t="s">
        <v>68</v>
      </c>
      <c r="B9" t="s">
        <v>40</v>
      </c>
      <c r="C9" s="16" t="str">
        <f>A9&amp;B9</f>
        <v>CosmosWhite 2</v>
      </c>
      <c r="D9" s="8">
        <f>111</f>
        <v>111</v>
      </c>
      <c r="E9" s="30" t="str">
        <f>A9&amp;D9</f>
        <v>Cosmos111</v>
      </c>
      <c r="F9" s="29" t="str">
        <f>VLOOKUP($D9,Lists!$J$1:$AB$29,2,FALSE)</f>
        <v>rr-yy-ss</v>
      </c>
      <c r="G9" t="s">
        <v>96</v>
      </c>
      <c r="H9" s="29" t="str">
        <f>VLOOKUP($D9,Lists!$J$1:$AB$29,3,FALSE)</f>
        <v>-</v>
      </c>
      <c r="I9" s="29">
        <f>VLOOKUP($D9,Lists!$J$1:$AB$29,4,FALSE)</f>
        <v>1</v>
      </c>
      <c r="J9" s="29" t="str">
        <f>VLOOKUP($D9,Lists!$J$1:$AB$29,5,FALSE)</f>
        <v>rys</v>
      </c>
      <c r="K9" s="29">
        <f>VLOOKUP($D9,Lists!$J$1:$AB$29,6,FALSE)</f>
        <v>111</v>
      </c>
      <c r="L9" s="29" t="str">
        <f>VLOOKUP($D9,Lists!$J$1:$AB$29,7,FALSE)</f>
        <v>-</v>
      </c>
      <c r="M9" s="29" t="str">
        <f>VLOOKUP($D9,Lists!$J$1:$AB$29,8,FALSE)</f>
        <v>-</v>
      </c>
      <c r="N9" s="29" t="str">
        <f>VLOOKUP($D9,Lists!$J$1:$AB$29,9,FALSE)</f>
        <v>-</v>
      </c>
      <c r="O9" s="29" t="str">
        <f>VLOOKUP($D9,Lists!$J$1:$AB$29,10,FALSE)</f>
        <v>-</v>
      </c>
      <c r="P9" s="29" t="str">
        <f>VLOOKUP($D9,Lists!$J$1:$AB$29,11,FALSE)</f>
        <v>-</v>
      </c>
      <c r="Q9" s="29" t="str">
        <f>VLOOKUP($D9,Lists!$J$1:$AB$29,12,FALSE)</f>
        <v>-</v>
      </c>
      <c r="R9" s="29" t="str">
        <f>VLOOKUP($D9,Lists!$J$1:$AB$29,13,FALSE)</f>
        <v>-</v>
      </c>
      <c r="S9" s="29" t="str">
        <f>VLOOKUP($D9,Lists!$J$1:$AB$29,14,FALSE)</f>
        <v>-</v>
      </c>
      <c r="T9" s="29" t="str">
        <f>VLOOKUP($D9,Lists!$J$1:$AB$29,15,FALSE)</f>
        <v>-</v>
      </c>
      <c r="U9" s="29" t="str">
        <f>VLOOKUP($D9,Lists!$J$1:$AB$29,16,FALSE)</f>
        <v>-</v>
      </c>
      <c r="V9" s="29" t="str">
        <f>VLOOKUP($D9,Lists!$J$1:$AB$29,17,FALSE)</f>
        <v>-</v>
      </c>
      <c r="W9" s="29" t="str">
        <f>VLOOKUP($D9,Lists!$J$1:$AB$29,18,FALSE)</f>
        <v>-</v>
      </c>
      <c r="X9" s="29" t="str">
        <f>VLOOKUP($D9,Lists!$J$1:$AB$29,19,FALSE)</f>
        <v>-</v>
      </c>
      <c r="Y9" s="29" t="str">
        <f>VLOOKUP($D9,Lists!$J$1:$AC$29,20,FALSE)</f>
        <v>-</v>
      </c>
      <c r="Z9" s="32" t="str">
        <f t="shared" si="0"/>
        <v>2</v>
      </c>
    </row>
    <row r="10" spans="1:26" x14ac:dyDescent="0.25">
      <c r="A10" t="s">
        <v>68</v>
      </c>
      <c r="B10" t="s">
        <v>41</v>
      </c>
      <c r="C10" s="16" t="str">
        <f>A10&amp;B10</f>
        <v>CosmosWhite 3</v>
      </c>
      <c r="D10" s="8">
        <f>113</f>
        <v>113</v>
      </c>
      <c r="E10" s="30" t="str">
        <f>A10&amp;D10</f>
        <v>Cosmos113</v>
      </c>
      <c r="F10" s="29" t="str">
        <f>VLOOKUP($D10,Lists!$J$1:$AB$29,2,FALSE)</f>
        <v>rr-yy-SS</v>
      </c>
      <c r="G10" t="s">
        <v>96</v>
      </c>
      <c r="H10" s="29" t="str">
        <f>VLOOKUP($D10,Lists!$J$1:$AB$29,3,FALSE)</f>
        <v>-</v>
      </c>
      <c r="I10" s="29">
        <f>VLOOKUP($D10,Lists!$J$1:$AB$29,4,FALSE)</f>
        <v>1</v>
      </c>
      <c r="J10" s="29" t="str">
        <f>VLOOKUP($D10,Lists!$J$1:$AB$29,5,FALSE)</f>
        <v>ryS</v>
      </c>
      <c r="K10" s="29">
        <f>VLOOKUP($D10,Lists!$J$1:$AB$29,6,FALSE)</f>
        <v>112</v>
      </c>
      <c r="L10" s="29" t="str">
        <f>VLOOKUP($D10,Lists!$J$1:$AB$29,7,FALSE)</f>
        <v>-</v>
      </c>
      <c r="M10" s="29" t="str">
        <f>VLOOKUP($D10,Lists!$J$1:$AB$29,8,FALSE)</f>
        <v>-</v>
      </c>
      <c r="N10" s="29" t="str">
        <f>VLOOKUP($D10,Lists!$J$1:$AB$29,9,FALSE)</f>
        <v>-</v>
      </c>
      <c r="O10" s="29" t="str">
        <f>VLOOKUP($D10,Lists!$J$1:$AB$29,10,FALSE)</f>
        <v>-</v>
      </c>
      <c r="P10" s="29" t="str">
        <f>VLOOKUP($D10,Lists!$J$1:$AB$29,11,FALSE)</f>
        <v>-</v>
      </c>
      <c r="Q10" s="29" t="str">
        <f>VLOOKUP($D10,Lists!$J$1:$AB$29,12,FALSE)</f>
        <v>-</v>
      </c>
      <c r="R10" s="29" t="str">
        <f>VLOOKUP($D10,Lists!$J$1:$AB$29,13,FALSE)</f>
        <v>-</v>
      </c>
      <c r="S10" s="29" t="str">
        <f>VLOOKUP($D10,Lists!$J$1:$AB$29,14,FALSE)</f>
        <v>-</v>
      </c>
      <c r="T10" s="29" t="str">
        <f>VLOOKUP($D10,Lists!$J$1:$AB$29,15,FALSE)</f>
        <v>-</v>
      </c>
      <c r="U10" s="29" t="str">
        <f>VLOOKUP($D10,Lists!$J$1:$AB$29,16,FALSE)</f>
        <v>-</v>
      </c>
      <c r="V10" s="29" t="str">
        <f>VLOOKUP($D10,Lists!$J$1:$AB$29,17,FALSE)</f>
        <v>-</v>
      </c>
      <c r="W10" s="29" t="str">
        <f>VLOOKUP($D10,Lists!$J$1:$AB$29,18,FALSE)</f>
        <v>-</v>
      </c>
      <c r="X10" s="29" t="str">
        <f>VLOOKUP($D10,Lists!$J$1:$AB$29,19,FALSE)</f>
        <v>-</v>
      </c>
      <c r="Y10" s="29" t="str">
        <f>VLOOKUP($D10,Lists!$J$1:$AC$29,20,FALSE)</f>
        <v>-</v>
      </c>
      <c r="Z10" s="32" t="str">
        <f t="shared" si="0"/>
        <v>3</v>
      </c>
    </row>
    <row r="11" spans="1:26" x14ac:dyDescent="0.25">
      <c r="A11" t="s">
        <v>68</v>
      </c>
      <c r="B11" t="s">
        <v>42</v>
      </c>
      <c r="C11" s="16" t="str">
        <f>A11&amp;B11</f>
        <v>CosmosYellow 2</v>
      </c>
      <c r="D11" s="8">
        <f>131</f>
        <v>131</v>
      </c>
      <c r="E11" s="30" t="str">
        <f>A11&amp;D11</f>
        <v>Cosmos131</v>
      </c>
      <c r="F11" s="29" t="str">
        <f>VLOOKUP($D11,Lists!$J$1:$AB$29,2,FALSE)</f>
        <v>rr-YY-ss</v>
      </c>
      <c r="G11" t="s">
        <v>95</v>
      </c>
      <c r="H11" s="29" t="str">
        <f>VLOOKUP($D11,Lists!$J$1:$AB$29,3,FALSE)</f>
        <v>-</v>
      </c>
      <c r="I11" s="29">
        <f>VLOOKUP($D11,Lists!$J$1:$AB$29,4,FALSE)</f>
        <v>1</v>
      </c>
      <c r="J11" s="29" t="str">
        <f>VLOOKUP($D11,Lists!$J$1:$AB$29,5,FALSE)</f>
        <v>rYs</v>
      </c>
      <c r="K11" s="29">
        <f>VLOOKUP($D11,Lists!$J$1:$AB$29,6,FALSE)</f>
        <v>121</v>
      </c>
      <c r="L11" s="29" t="str">
        <f>VLOOKUP($D11,Lists!$J$1:$AB$29,7,FALSE)</f>
        <v>-</v>
      </c>
      <c r="M11" s="29" t="str">
        <f>VLOOKUP($D11,Lists!$J$1:$AB$29,8,FALSE)</f>
        <v>-</v>
      </c>
      <c r="N11" s="29" t="str">
        <f>VLOOKUP($D11,Lists!$J$1:$AB$29,9,FALSE)</f>
        <v>-</v>
      </c>
      <c r="O11" s="29" t="str">
        <f>VLOOKUP($D11,Lists!$J$1:$AB$29,10,FALSE)</f>
        <v>-</v>
      </c>
      <c r="P11" s="29" t="str">
        <f>VLOOKUP($D11,Lists!$J$1:$AB$29,11,FALSE)</f>
        <v>-</v>
      </c>
      <c r="Q11" s="29" t="str">
        <f>VLOOKUP($D11,Lists!$J$1:$AB$29,12,FALSE)</f>
        <v>-</v>
      </c>
      <c r="R11" s="29" t="str">
        <f>VLOOKUP($D11,Lists!$J$1:$AB$29,13,FALSE)</f>
        <v>-</v>
      </c>
      <c r="S11" s="29" t="str">
        <f>VLOOKUP($D11,Lists!$J$1:$AB$29,14,FALSE)</f>
        <v>-</v>
      </c>
      <c r="T11" s="29" t="str">
        <f>VLOOKUP($D11,Lists!$J$1:$AB$29,15,FALSE)</f>
        <v>-</v>
      </c>
      <c r="U11" s="29" t="str">
        <f>VLOOKUP($D11,Lists!$J$1:$AB$29,16,FALSE)</f>
        <v>-</v>
      </c>
      <c r="V11" s="29" t="str">
        <f>VLOOKUP($D11,Lists!$J$1:$AB$29,17,FALSE)</f>
        <v>-</v>
      </c>
      <c r="W11" s="29" t="str">
        <f>VLOOKUP($D11,Lists!$J$1:$AB$29,18,FALSE)</f>
        <v>-</v>
      </c>
      <c r="X11" s="29" t="str">
        <f>VLOOKUP($D11,Lists!$J$1:$AB$29,19,FALSE)</f>
        <v>-</v>
      </c>
      <c r="Y11" s="29" t="str">
        <f>VLOOKUP($D11,Lists!$J$1:$AC$29,20,FALSE)</f>
        <v>-</v>
      </c>
      <c r="Z11" s="32" t="str">
        <f t="shared" si="0"/>
        <v>2</v>
      </c>
    </row>
    <row r="12" spans="1:26" x14ac:dyDescent="0.25">
      <c r="A12" t="s">
        <v>68</v>
      </c>
      <c r="B12" t="s">
        <v>43</v>
      </c>
      <c r="C12" s="16" t="str">
        <f>A12&amp;B12</f>
        <v>CosmosYellow 3</v>
      </c>
      <c r="D12" s="8">
        <f>133</f>
        <v>133</v>
      </c>
      <c r="E12" s="30" t="str">
        <f>A12&amp;D12</f>
        <v>Cosmos133</v>
      </c>
      <c r="F12" s="29" t="str">
        <f>VLOOKUP($D12,Lists!$J$1:$AB$29,2,FALSE)</f>
        <v>rr-YY-SS</v>
      </c>
      <c r="G12" t="s">
        <v>95</v>
      </c>
      <c r="H12" s="29" t="str">
        <f>VLOOKUP($D12,Lists!$J$1:$AB$29,3,FALSE)</f>
        <v>-</v>
      </c>
      <c r="I12" s="29">
        <f>VLOOKUP($D12,Lists!$J$1:$AB$29,4,FALSE)</f>
        <v>1</v>
      </c>
      <c r="J12" s="29" t="str">
        <f>VLOOKUP($D12,Lists!$J$1:$AB$29,5,FALSE)</f>
        <v>rYS</v>
      </c>
      <c r="K12" s="29">
        <f>VLOOKUP($D12,Lists!$J$1:$AB$29,6,FALSE)</f>
        <v>122</v>
      </c>
      <c r="L12" s="29" t="str">
        <f>VLOOKUP($D12,Lists!$J$1:$AB$29,7,FALSE)</f>
        <v>-</v>
      </c>
      <c r="M12" s="29" t="str">
        <f>VLOOKUP($D12,Lists!$J$1:$AB$29,8,FALSE)</f>
        <v>-</v>
      </c>
      <c r="N12" s="29" t="str">
        <f>VLOOKUP($D12,Lists!$J$1:$AB$29,9,FALSE)</f>
        <v>-</v>
      </c>
      <c r="O12" s="29" t="str">
        <f>VLOOKUP($D12,Lists!$J$1:$AB$29,10,FALSE)</f>
        <v>-</v>
      </c>
      <c r="P12" s="29" t="str">
        <f>VLOOKUP($D12,Lists!$J$1:$AB$29,11,FALSE)</f>
        <v>-</v>
      </c>
      <c r="Q12" s="29" t="str">
        <f>VLOOKUP($D12,Lists!$J$1:$AB$29,12,FALSE)</f>
        <v>-</v>
      </c>
      <c r="R12" s="29" t="str">
        <f>VLOOKUP($D12,Lists!$J$1:$AB$29,13,FALSE)</f>
        <v>-</v>
      </c>
      <c r="S12" s="29" t="str">
        <f>VLOOKUP($D12,Lists!$J$1:$AB$29,14,FALSE)</f>
        <v>-</v>
      </c>
      <c r="T12" s="29" t="str">
        <f>VLOOKUP($D12,Lists!$J$1:$AB$29,15,FALSE)</f>
        <v>-</v>
      </c>
      <c r="U12" s="29" t="str">
        <f>VLOOKUP($D12,Lists!$J$1:$AB$29,16,FALSE)</f>
        <v>-</v>
      </c>
      <c r="V12" s="29" t="str">
        <f>VLOOKUP($D12,Lists!$J$1:$AB$29,17,FALSE)</f>
        <v>-</v>
      </c>
      <c r="W12" s="29" t="str">
        <f>VLOOKUP($D12,Lists!$J$1:$AB$29,18,FALSE)</f>
        <v>-</v>
      </c>
      <c r="X12" s="29" t="str">
        <f>VLOOKUP($D12,Lists!$J$1:$AB$29,19,FALSE)</f>
        <v>-</v>
      </c>
      <c r="Y12" s="29" t="str">
        <f>VLOOKUP($D12,Lists!$J$1:$AC$29,20,FALSE)</f>
        <v>-</v>
      </c>
      <c r="Z12" s="32" t="str">
        <f t="shared" si="0"/>
        <v>3</v>
      </c>
    </row>
    <row r="13" spans="1:26" x14ac:dyDescent="0.25">
      <c r="A13" t="s">
        <v>68</v>
      </c>
      <c r="B13" t="s">
        <v>63</v>
      </c>
      <c r="C13" s="16" t="str">
        <f>A13&amp;B13</f>
        <v>CosmosOrange 3</v>
      </c>
      <c r="D13" s="8">
        <f>322</f>
        <v>322</v>
      </c>
      <c r="E13" s="30" t="str">
        <f>A13&amp;D13</f>
        <v>Cosmos322</v>
      </c>
      <c r="F13" s="29" t="str">
        <f>VLOOKUP($D13,Lists!$J$1:$AB$29,2,FALSE)</f>
        <v>RR-Yy-Ss</v>
      </c>
      <c r="G13" t="s">
        <v>97</v>
      </c>
      <c r="H13" s="29" t="str">
        <f>VLOOKUP($D13,Lists!$J$1:$AB$29,3,FALSE)</f>
        <v>YS</v>
      </c>
      <c r="I13" s="29">
        <f>VLOOKUP($D13,Lists!$J$1:$AB$29,4,FALSE)</f>
        <v>4</v>
      </c>
      <c r="J13" s="29" t="str">
        <f>VLOOKUP($D13,Lists!$J$1:$AB$29,5,FALSE)</f>
        <v>RYS</v>
      </c>
      <c r="K13" s="29">
        <f>VLOOKUP($D13,Lists!$J$1:$AB$29,6,FALSE)</f>
        <v>222</v>
      </c>
      <c r="L13" s="29" t="str">
        <f>VLOOKUP($D13,Lists!$J$1:$AB$29,7,FALSE)</f>
        <v>RyS</v>
      </c>
      <c r="M13" s="29">
        <f>VLOOKUP($D13,Lists!$J$1:$AB$29,8,FALSE)</f>
        <v>212</v>
      </c>
      <c r="N13" s="29" t="str">
        <f>VLOOKUP($D13,Lists!$J$1:$AB$29,9,FALSE)</f>
        <v>RYs</v>
      </c>
      <c r="O13" s="29">
        <f>VLOOKUP($D13,Lists!$J$1:$AB$29,10,FALSE)</f>
        <v>221</v>
      </c>
      <c r="P13" s="29" t="str">
        <f>VLOOKUP($D13,Lists!$J$1:$AB$29,11,FALSE)</f>
        <v>Rys</v>
      </c>
      <c r="Q13" s="29">
        <f>VLOOKUP($D13,Lists!$J$1:$AB$29,12,FALSE)</f>
        <v>211</v>
      </c>
      <c r="R13" s="29" t="str">
        <f>VLOOKUP($D13,Lists!$J$1:$AB$29,13,FALSE)</f>
        <v>-</v>
      </c>
      <c r="S13" s="29" t="str">
        <f>VLOOKUP($D13,Lists!$J$1:$AB$29,14,FALSE)</f>
        <v>-</v>
      </c>
      <c r="T13" s="29" t="str">
        <f>VLOOKUP($D13,Lists!$J$1:$AB$29,15,FALSE)</f>
        <v>-</v>
      </c>
      <c r="U13" s="29" t="str">
        <f>VLOOKUP($D13,Lists!$J$1:$AB$29,16,FALSE)</f>
        <v>-</v>
      </c>
      <c r="V13" s="29" t="str">
        <f>VLOOKUP($D13,Lists!$J$1:$AB$29,17,FALSE)</f>
        <v>-</v>
      </c>
      <c r="W13" s="29" t="str">
        <f>VLOOKUP($D13,Lists!$J$1:$AB$29,18,FALSE)</f>
        <v>-</v>
      </c>
      <c r="X13" s="29" t="str">
        <f>VLOOKUP($D13,Lists!$J$1:$AB$29,19,FALSE)</f>
        <v>-</v>
      </c>
      <c r="Y13" s="29" t="str">
        <f>VLOOKUP($D13,Lists!$J$1:$AC$29,20,FALSE)</f>
        <v>-</v>
      </c>
      <c r="Z13" s="32" t="str">
        <f t="shared" si="0"/>
        <v>3</v>
      </c>
    </row>
    <row r="14" spans="1:26" x14ac:dyDescent="0.25">
      <c r="A14" t="s">
        <v>68</v>
      </c>
      <c r="B14" t="s">
        <v>62</v>
      </c>
      <c r="C14" s="16" t="str">
        <f>A14&amp;B14</f>
        <v>CosmosOrange 4</v>
      </c>
      <c r="D14" s="8">
        <f>321</f>
        <v>321</v>
      </c>
      <c r="E14" s="30" t="str">
        <f>A14&amp;D14</f>
        <v>Cosmos321</v>
      </c>
      <c r="F14" s="29" t="str">
        <f>VLOOKUP($D14,Lists!$J$1:$AB$29,2,FALSE)</f>
        <v>RR-Yy-ss</v>
      </c>
      <c r="G14" t="s">
        <v>97</v>
      </c>
      <c r="H14" s="29" t="str">
        <f>VLOOKUP($D14,Lists!$J$1:$AB$29,3,FALSE)</f>
        <v>Y</v>
      </c>
      <c r="I14" s="29">
        <f>VLOOKUP($D14,Lists!$J$1:$AB$29,4,FALSE)</f>
        <v>2</v>
      </c>
      <c r="J14" s="29" t="str">
        <f>VLOOKUP($D14,Lists!$J$1:$AB$29,5,FALSE)</f>
        <v>RYs</v>
      </c>
      <c r="K14" s="29">
        <f>VLOOKUP($D14,Lists!$J$1:$AB$29,6,FALSE)</f>
        <v>221</v>
      </c>
      <c r="L14" s="29" t="str">
        <f>VLOOKUP($D14,Lists!$J$1:$AB$29,7,FALSE)</f>
        <v>Rys</v>
      </c>
      <c r="M14" s="29">
        <f>VLOOKUP($D14,Lists!$J$1:$AB$29,8,FALSE)</f>
        <v>211</v>
      </c>
      <c r="N14" s="29" t="str">
        <f>VLOOKUP($D14,Lists!$J$1:$AB$29,9,FALSE)</f>
        <v>-</v>
      </c>
      <c r="O14" s="29" t="str">
        <f>VLOOKUP($D14,Lists!$J$1:$AB$29,10,FALSE)</f>
        <v>-</v>
      </c>
      <c r="P14" s="29" t="str">
        <f>VLOOKUP($D14,Lists!$J$1:$AB$29,11,FALSE)</f>
        <v>-</v>
      </c>
      <c r="Q14" s="29" t="str">
        <f>VLOOKUP($D14,Lists!$J$1:$AB$29,12,FALSE)</f>
        <v>-</v>
      </c>
      <c r="R14" s="29" t="str">
        <f>VLOOKUP($D14,Lists!$J$1:$AB$29,13,FALSE)</f>
        <v>-</v>
      </c>
      <c r="S14" s="29" t="str">
        <f>VLOOKUP($D14,Lists!$J$1:$AB$29,14,FALSE)</f>
        <v>-</v>
      </c>
      <c r="T14" s="29" t="str">
        <f>VLOOKUP($D14,Lists!$J$1:$AB$29,15,FALSE)</f>
        <v>-</v>
      </c>
      <c r="U14" s="29" t="str">
        <f>VLOOKUP($D14,Lists!$J$1:$AB$29,16,FALSE)</f>
        <v>-</v>
      </c>
      <c r="V14" s="29" t="str">
        <f>VLOOKUP($D14,Lists!$J$1:$AB$29,17,FALSE)</f>
        <v>-</v>
      </c>
      <c r="W14" s="29" t="str">
        <f>VLOOKUP($D14,Lists!$J$1:$AB$29,18,FALSE)</f>
        <v>-</v>
      </c>
      <c r="X14" s="29" t="str">
        <f>VLOOKUP($D14,Lists!$J$1:$AB$29,19,FALSE)</f>
        <v>-</v>
      </c>
      <c r="Y14" s="29" t="str">
        <f>VLOOKUP($D14,Lists!$J$1:$AC$29,20,FALSE)</f>
        <v>-</v>
      </c>
      <c r="Z14" s="32" t="str">
        <f t="shared" si="0"/>
        <v>4</v>
      </c>
    </row>
    <row r="15" spans="1:26" x14ac:dyDescent="0.25">
      <c r="A15" t="s">
        <v>68</v>
      </c>
      <c r="B15" t="s">
        <v>87</v>
      </c>
      <c r="C15" s="16" t="str">
        <f>A15&amp;B15</f>
        <v>CosmosRed 2</v>
      </c>
      <c r="D15" s="8">
        <f>312</f>
        <v>312</v>
      </c>
      <c r="E15" s="30" t="str">
        <f>A15&amp;D15</f>
        <v>Cosmos312</v>
      </c>
      <c r="F15" s="29" t="str">
        <f>VLOOKUP($D15,Lists!$J$1:$AB$29,2,FALSE)</f>
        <v>RR-yy-Ss</v>
      </c>
      <c r="G15" t="s">
        <v>94</v>
      </c>
      <c r="H15" s="29" t="str">
        <f>VLOOKUP($D15,Lists!$J$1:$AB$29,3,FALSE)</f>
        <v>S</v>
      </c>
      <c r="I15" s="29">
        <f>VLOOKUP($D15,Lists!$J$1:$AB$29,4,FALSE)</f>
        <v>2</v>
      </c>
      <c r="J15" s="29" t="str">
        <f>VLOOKUP($D15,Lists!$J$1:$AB$29,5,FALSE)</f>
        <v>RyS</v>
      </c>
      <c r="K15" s="29">
        <f>VLOOKUP($D15,Lists!$J$1:$AB$29,6,FALSE)</f>
        <v>212</v>
      </c>
      <c r="L15" s="29" t="str">
        <f>VLOOKUP($D15,Lists!$J$1:$AB$29,7,FALSE)</f>
        <v>Rys</v>
      </c>
      <c r="M15" s="29">
        <f>VLOOKUP($D15,Lists!$J$1:$AB$29,8,FALSE)</f>
        <v>211</v>
      </c>
      <c r="N15" s="29" t="str">
        <f>VLOOKUP($D15,Lists!$J$1:$AB$29,9,FALSE)</f>
        <v>-</v>
      </c>
      <c r="O15" s="29" t="str">
        <f>VLOOKUP($D15,Lists!$J$1:$AB$29,10,FALSE)</f>
        <v>-</v>
      </c>
      <c r="P15" s="29" t="str">
        <f>VLOOKUP($D15,Lists!$J$1:$AB$29,11,FALSE)</f>
        <v>-</v>
      </c>
      <c r="Q15" s="29" t="str">
        <f>VLOOKUP($D15,Lists!$J$1:$AB$29,12,FALSE)</f>
        <v>-</v>
      </c>
      <c r="R15" s="29" t="str">
        <f>VLOOKUP($D15,Lists!$J$1:$AB$29,13,FALSE)</f>
        <v>-</v>
      </c>
      <c r="S15" s="29" t="str">
        <f>VLOOKUP($D15,Lists!$J$1:$AB$29,14,FALSE)</f>
        <v>-</v>
      </c>
      <c r="T15" s="29" t="str">
        <f>VLOOKUP($D15,Lists!$J$1:$AB$29,15,FALSE)</f>
        <v>-</v>
      </c>
      <c r="U15" s="29" t="str">
        <f>VLOOKUP($D15,Lists!$J$1:$AB$29,16,FALSE)</f>
        <v>-</v>
      </c>
      <c r="V15" s="29" t="str">
        <f>VLOOKUP($D15,Lists!$J$1:$AB$29,17,FALSE)</f>
        <v>-</v>
      </c>
      <c r="W15" s="29" t="str">
        <f>VLOOKUP($D15,Lists!$J$1:$AB$29,18,FALSE)</f>
        <v>-</v>
      </c>
      <c r="X15" s="29" t="str">
        <f>VLOOKUP($D15,Lists!$J$1:$AB$29,19,FALSE)</f>
        <v>-</v>
      </c>
      <c r="Y15" s="29" t="str">
        <f>VLOOKUP($D15,Lists!$J$1:$AC$29,20,FALSE)</f>
        <v>-</v>
      </c>
      <c r="Z15" s="32" t="str">
        <f t="shared" si="0"/>
        <v>2</v>
      </c>
    </row>
    <row r="16" spans="1:26" x14ac:dyDescent="0.25">
      <c r="A16" t="s">
        <v>68</v>
      </c>
      <c r="B16" t="s">
        <v>61</v>
      </c>
      <c r="C16" s="16" t="str">
        <f>A16&amp;B16</f>
        <v>CosmosOrange 5</v>
      </c>
      <c r="D16" s="8">
        <f>233</f>
        <v>233</v>
      </c>
      <c r="E16" s="30" t="str">
        <f>A16&amp;D16</f>
        <v>Cosmos233</v>
      </c>
      <c r="F16" s="29" t="str">
        <f>VLOOKUP($D16,Lists!$J$1:$AB$29,2,FALSE)</f>
        <v>Rr-YY-SS</v>
      </c>
      <c r="G16" t="s">
        <v>97</v>
      </c>
      <c r="H16" s="29" t="str">
        <f>VLOOKUP($D16,Lists!$J$1:$AB$29,3,FALSE)</f>
        <v>R</v>
      </c>
      <c r="I16" s="29">
        <f>VLOOKUP($D16,Lists!$J$1:$AB$29,4,FALSE)</f>
        <v>2</v>
      </c>
      <c r="J16" s="29" t="str">
        <f>VLOOKUP($D16,Lists!$J$1:$AB$29,5,FALSE)</f>
        <v>RYS</v>
      </c>
      <c r="K16" s="29">
        <f>VLOOKUP($D16,Lists!$J$1:$AB$29,6,FALSE)</f>
        <v>222</v>
      </c>
      <c r="L16" s="29" t="str">
        <f>VLOOKUP($D16,Lists!$J$1:$AB$29,7,FALSE)</f>
        <v>rYS</v>
      </c>
      <c r="M16" s="29">
        <f>VLOOKUP($D16,Lists!$J$1:$AB$29,8,FALSE)</f>
        <v>122</v>
      </c>
      <c r="N16" s="29" t="str">
        <f>VLOOKUP($D16,Lists!$J$1:$AB$29,9,FALSE)</f>
        <v>-</v>
      </c>
      <c r="O16" s="29" t="str">
        <f>VLOOKUP($D16,Lists!$J$1:$AB$29,10,FALSE)</f>
        <v>-</v>
      </c>
      <c r="P16" s="29" t="str">
        <f>VLOOKUP($D16,Lists!$J$1:$AB$29,11,FALSE)</f>
        <v>-</v>
      </c>
      <c r="Q16" s="29" t="str">
        <f>VLOOKUP($D16,Lists!$J$1:$AB$29,12,FALSE)</f>
        <v>-</v>
      </c>
      <c r="R16" s="29" t="str">
        <f>VLOOKUP($D16,Lists!$J$1:$AB$29,13,FALSE)</f>
        <v>-</v>
      </c>
      <c r="S16" s="29" t="str">
        <f>VLOOKUP($D16,Lists!$J$1:$AB$29,14,FALSE)</f>
        <v>-</v>
      </c>
      <c r="T16" s="29" t="str">
        <f>VLOOKUP($D16,Lists!$J$1:$AB$29,15,FALSE)</f>
        <v>-</v>
      </c>
      <c r="U16" s="29" t="str">
        <f>VLOOKUP($D16,Lists!$J$1:$AB$29,16,FALSE)</f>
        <v>-</v>
      </c>
      <c r="V16" s="29" t="str">
        <f>VLOOKUP($D16,Lists!$J$1:$AB$29,17,FALSE)</f>
        <v>-</v>
      </c>
      <c r="W16" s="29" t="str">
        <f>VLOOKUP($D16,Lists!$J$1:$AB$29,18,FALSE)</f>
        <v>-</v>
      </c>
      <c r="X16" s="29" t="str">
        <f>VLOOKUP($D16,Lists!$J$1:$AB$29,19,FALSE)</f>
        <v>-</v>
      </c>
      <c r="Y16" s="29" t="str">
        <f>VLOOKUP($D16,Lists!$J$1:$AC$29,20,FALSE)</f>
        <v>-</v>
      </c>
      <c r="Z16" s="32" t="str">
        <f t="shared" si="0"/>
        <v>5</v>
      </c>
    </row>
    <row r="17" spans="1:26" x14ac:dyDescent="0.25">
      <c r="A17" t="s">
        <v>68</v>
      </c>
      <c r="B17" t="s">
        <v>55</v>
      </c>
      <c r="C17" s="16" t="str">
        <f>A17&amp;B17</f>
        <v>CosmosPink 3</v>
      </c>
      <c r="D17" s="8">
        <f>223</f>
        <v>223</v>
      </c>
      <c r="E17" s="30" t="str">
        <f>A17&amp;D17</f>
        <v>Cosmos223</v>
      </c>
      <c r="F17" s="29" t="str">
        <f>VLOOKUP($D17,Lists!$J$1:$AB$29,2,FALSE)</f>
        <v>Rr-Yy-SS</v>
      </c>
      <c r="G17" t="s">
        <v>98</v>
      </c>
      <c r="H17" s="29" t="str">
        <f>VLOOKUP($D17,Lists!$J$1:$AB$29,3,FALSE)</f>
        <v>RY</v>
      </c>
      <c r="I17" s="29">
        <f>VLOOKUP($D17,Lists!$J$1:$AB$29,4,FALSE)</f>
        <v>4</v>
      </c>
      <c r="J17" s="29" t="str">
        <f>VLOOKUP($D17,Lists!$J$1:$AB$29,5,FALSE)</f>
        <v>RYS</v>
      </c>
      <c r="K17" s="29">
        <f>VLOOKUP($D17,Lists!$J$1:$AB$29,6,FALSE)</f>
        <v>222</v>
      </c>
      <c r="L17" s="29" t="str">
        <f>VLOOKUP($D17,Lists!$J$1:$AB$29,7,FALSE)</f>
        <v>RyS</v>
      </c>
      <c r="M17" s="29">
        <f>VLOOKUP($D17,Lists!$J$1:$AB$29,8,FALSE)</f>
        <v>212</v>
      </c>
      <c r="N17" s="29" t="str">
        <f>VLOOKUP($D17,Lists!$J$1:$AB$29,9,FALSE)</f>
        <v>rYS</v>
      </c>
      <c r="O17" s="29">
        <f>VLOOKUP($D17,Lists!$J$1:$AB$29,10,FALSE)</f>
        <v>122</v>
      </c>
      <c r="P17" s="29" t="str">
        <f>VLOOKUP($D17,Lists!$J$1:$AB$29,11,FALSE)</f>
        <v>ryS</v>
      </c>
      <c r="Q17" s="29">
        <f>VLOOKUP($D17,Lists!$J$1:$AB$29,12,FALSE)</f>
        <v>112</v>
      </c>
      <c r="R17" s="29" t="str">
        <f>VLOOKUP($D17,Lists!$J$1:$AB$29,13,FALSE)</f>
        <v>-</v>
      </c>
      <c r="S17" s="29" t="str">
        <f>VLOOKUP($D17,Lists!$J$1:$AB$29,14,FALSE)</f>
        <v>-</v>
      </c>
      <c r="T17" s="29" t="str">
        <f>VLOOKUP($D17,Lists!$J$1:$AB$29,15,FALSE)</f>
        <v>-</v>
      </c>
      <c r="U17" s="29" t="str">
        <f>VLOOKUP($D17,Lists!$J$1:$AB$29,16,FALSE)</f>
        <v>-</v>
      </c>
      <c r="V17" s="29" t="str">
        <f>VLOOKUP($D17,Lists!$J$1:$AB$29,17,FALSE)</f>
        <v>-</v>
      </c>
      <c r="W17" s="29" t="str">
        <f>VLOOKUP($D17,Lists!$J$1:$AB$29,18,FALSE)</f>
        <v>-</v>
      </c>
      <c r="X17" s="29" t="str">
        <f>VLOOKUP($D17,Lists!$J$1:$AB$29,19,FALSE)</f>
        <v>-</v>
      </c>
      <c r="Y17" s="29" t="str">
        <f>VLOOKUP($D17,Lists!$J$1:$AC$29,20,FALSE)</f>
        <v>-</v>
      </c>
      <c r="Z17" s="32" t="str">
        <f t="shared" si="0"/>
        <v>3</v>
      </c>
    </row>
    <row r="18" spans="1:26" x14ac:dyDescent="0.25">
      <c r="A18" t="s">
        <v>68</v>
      </c>
      <c r="B18" t="s">
        <v>73</v>
      </c>
      <c r="C18" s="16" t="str">
        <f>A18&amp;B18</f>
        <v>CosmosOrange 6</v>
      </c>
      <c r="D18" s="8">
        <v>232</v>
      </c>
      <c r="E18" s="30" t="str">
        <f>A18&amp;D18</f>
        <v>Cosmos232</v>
      </c>
      <c r="F18" s="29" t="str">
        <f>VLOOKUP($D18,Lists!$J$1:$AB$29,2,FALSE)</f>
        <v>Rr-YY-Ss</v>
      </c>
      <c r="G18" t="s">
        <v>97</v>
      </c>
      <c r="H18" s="29" t="str">
        <f>VLOOKUP($D18,Lists!$J$1:$AB$29,3,FALSE)</f>
        <v>RS</v>
      </c>
      <c r="I18" s="29">
        <f>VLOOKUP($D18,Lists!$J$1:$AB$29,4,FALSE)</f>
        <v>4</v>
      </c>
      <c r="J18" s="29" t="str">
        <f>VLOOKUP($D18,Lists!$J$1:$AB$29,5,FALSE)</f>
        <v>RYS</v>
      </c>
      <c r="K18" s="29">
        <f>VLOOKUP($D18,Lists!$J$1:$AB$29,6,FALSE)</f>
        <v>222</v>
      </c>
      <c r="L18" s="29" t="str">
        <f>VLOOKUP($D18,Lists!$J$1:$AB$29,7,FALSE)</f>
        <v>Rys</v>
      </c>
      <c r="M18" s="29">
        <f>VLOOKUP($D18,Lists!$J$1:$AB$29,8,FALSE)</f>
        <v>211</v>
      </c>
      <c r="N18" s="29" t="str">
        <f>VLOOKUP($D18,Lists!$J$1:$AB$29,9,FALSE)</f>
        <v>rYS</v>
      </c>
      <c r="O18" s="29">
        <f>VLOOKUP($D18,Lists!$J$1:$AB$29,10,FALSE)</f>
        <v>122</v>
      </c>
      <c r="P18" s="29" t="str">
        <f>VLOOKUP($D18,Lists!$J$1:$AB$29,11,FALSE)</f>
        <v>rYs</v>
      </c>
      <c r="Q18" s="29">
        <f>VLOOKUP($D18,Lists!$J$1:$AB$29,12,FALSE)</f>
        <v>121</v>
      </c>
      <c r="R18" s="29" t="str">
        <f>VLOOKUP($D18,Lists!$J$1:$AB$29,13,FALSE)</f>
        <v>-</v>
      </c>
      <c r="S18" s="29" t="str">
        <f>VLOOKUP($D18,Lists!$J$1:$AB$29,14,FALSE)</f>
        <v>-</v>
      </c>
      <c r="T18" s="29" t="str">
        <f>VLOOKUP($D18,Lists!$J$1:$AB$29,15,FALSE)</f>
        <v>-</v>
      </c>
      <c r="U18" s="29" t="str">
        <f>VLOOKUP($D18,Lists!$J$1:$AB$29,16,FALSE)</f>
        <v>-</v>
      </c>
      <c r="V18" s="29" t="str">
        <f>VLOOKUP($D18,Lists!$J$1:$AB$29,17,FALSE)</f>
        <v>-</v>
      </c>
      <c r="W18" s="29" t="str">
        <f>VLOOKUP($D18,Lists!$J$1:$AB$29,18,FALSE)</f>
        <v>-</v>
      </c>
      <c r="X18" s="29" t="str">
        <f>VLOOKUP($D18,Lists!$J$1:$AB$29,19,FALSE)</f>
        <v>-</v>
      </c>
      <c r="Y18" s="29" t="str">
        <f>VLOOKUP($D18,Lists!$J$1:$AC$29,20,FALSE)</f>
        <v>-</v>
      </c>
      <c r="Z18" s="32" t="str">
        <f t="shared" si="0"/>
        <v>6</v>
      </c>
    </row>
    <row r="19" spans="1:26" x14ac:dyDescent="0.25">
      <c r="A19" t="s">
        <v>68</v>
      </c>
      <c r="B19" t="s">
        <v>56</v>
      </c>
      <c r="C19" s="16" t="str">
        <f>A19&amp;B19</f>
        <v>CosmosPink 4</v>
      </c>
      <c r="D19" s="8">
        <v>213</v>
      </c>
      <c r="E19" s="30" t="str">
        <f>A19&amp;D19</f>
        <v>Cosmos213</v>
      </c>
      <c r="F19" s="29" t="str">
        <f>VLOOKUP($D19,Lists!$J$1:$AB$29,2,FALSE)</f>
        <v>Rr-yy-SS</v>
      </c>
      <c r="G19" t="s">
        <v>98</v>
      </c>
      <c r="H19" s="29" t="str">
        <f>VLOOKUP($D19,Lists!$J$1:$AB$29,3,FALSE)</f>
        <v>R</v>
      </c>
      <c r="I19" s="29">
        <f>VLOOKUP($D19,Lists!$J$1:$AB$29,4,FALSE)</f>
        <v>2</v>
      </c>
      <c r="J19" s="29" t="str">
        <f>VLOOKUP($D19,Lists!$J$1:$AB$29,5,FALSE)</f>
        <v>RyS</v>
      </c>
      <c r="K19" s="29">
        <f>VLOOKUP($D19,Lists!$J$1:$AB$29,6,FALSE)</f>
        <v>212</v>
      </c>
      <c r="L19" s="29" t="str">
        <f>VLOOKUP($D19,Lists!$J$1:$AB$29,7,FALSE)</f>
        <v>ryS</v>
      </c>
      <c r="M19" s="29">
        <f>VLOOKUP($D19,Lists!$J$1:$AB$29,8,FALSE)</f>
        <v>112</v>
      </c>
      <c r="N19" s="29" t="str">
        <f>VLOOKUP($D19,Lists!$J$1:$AB$29,9,FALSE)</f>
        <v>-</v>
      </c>
      <c r="O19" s="29" t="str">
        <f>VLOOKUP($D19,Lists!$J$1:$AB$29,10,FALSE)</f>
        <v>-</v>
      </c>
      <c r="P19" s="29" t="str">
        <f>VLOOKUP($D19,Lists!$J$1:$AB$29,11,FALSE)</f>
        <v>-</v>
      </c>
      <c r="Q19" s="29" t="str">
        <f>VLOOKUP($D19,Lists!$J$1:$AB$29,12,FALSE)</f>
        <v>-</v>
      </c>
      <c r="R19" s="29" t="str">
        <f>VLOOKUP($D19,Lists!$J$1:$AB$29,13,FALSE)</f>
        <v>-</v>
      </c>
      <c r="S19" s="29" t="str">
        <f>VLOOKUP($D19,Lists!$J$1:$AB$29,14,FALSE)</f>
        <v>-</v>
      </c>
      <c r="T19" s="29" t="str">
        <f>VLOOKUP($D19,Lists!$J$1:$AB$29,15,FALSE)</f>
        <v>-</v>
      </c>
      <c r="U19" s="29" t="str">
        <f>VLOOKUP($D19,Lists!$J$1:$AB$29,16,FALSE)</f>
        <v>-</v>
      </c>
      <c r="V19" s="29" t="str">
        <f>VLOOKUP($D19,Lists!$J$1:$AB$29,17,FALSE)</f>
        <v>-</v>
      </c>
      <c r="W19" s="29" t="str">
        <f>VLOOKUP($D19,Lists!$J$1:$AB$29,18,FALSE)</f>
        <v>-</v>
      </c>
      <c r="X19" s="29" t="str">
        <f>VLOOKUP($D19,Lists!$J$1:$AB$29,19,FALSE)</f>
        <v>-</v>
      </c>
      <c r="Y19" s="29" t="str">
        <f>VLOOKUP($D19,Lists!$J$1:$AC$29,20,FALSE)</f>
        <v>-</v>
      </c>
      <c r="Z19" s="32" t="str">
        <f t="shared" si="0"/>
        <v>4</v>
      </c>
    </row>
    <row r="20" spans="1:26" x14ac:dyDescent="0.25">
      <c r="A20" t="s">
        <v>68</v>
      </c>
      <c r="B20" t="s">
        <v>65</v>
      </c>
      <c r="C20" s="16" t="str">
        <f>A20&amp;B20</f>
        <v>CosmosOrange 7</v>
      </c>
      <c r="D20" s="8">
        <v>231</v>
      </c>
      <c r="E20" s="30" t="str">
        <f>A20&amp;D20</f>
        <v>Cosmos231</v>
      </c>
      <c r="F20" s="29" t="str">
        <f>VLOOKUP($D20,Lists!$J$1:$AB$29,2,FALSE)</f>
        <v>Rr-YY-ss</v>
      </c>
      <c r="G20" t="s">
        <v>97</v>
      </c>
      <c r="H20" s="29" t="str">
        <f>VLOOKUP($D20,Lists!$J$1:$AB$29,3,FALSE)</f>
        <v>R</v>
      </c>
      <c r="I20" s="29">
        <f>VLOOKUP($D20,Lists!$J$1:$AB$29,4,FALSE)</f>
        <v>2</v>
      </c>
      <c r="J20" s="29" t="str">
        <f>VLOOKUP($D20,Lists!$J$1:$AB$29,5,FALSE)</f>
        <v>Rys</v>
      </c>
      <c r="K20" s="29">
        <f>VLOOKUP($D20,Lists!$J$1:$AB$29,6,FALSE)</f>
        <v>211</v>
      </c>
      <c r="L20" s="29" t="str">
        <f>VLOOKUP($D20,Lists!$J$1:$AB$29,7,FALSE)</f>
        <v>rYs</v>
      </c>
      <c r="M20" s="29">
        <f>VLOOKUP($D20,Lists!$J$1:$AB$29,8,FALSE)</f>
        <v>121</v>
      </c>
      <c r="N20" s="29" t="str">
        <f>VLOOKUP($D20,Lists!$J$1:$AB$29,9,FALSE)</f>
        <v>-</v>
      </c>
      <c r="O20" s="29" t="str">
        <f>VLOOKUP($D20,Lists!$J$1:$AB$29,10,FALSE)</f>
        <v>-</v>
      </c>
      <c r="P20" s="29" t="str">
        <f>VLOOKUP($D20,Lists!$J$1:$AB$29,11,FALSE)</f>
        <v>-</v>
      </c>
      <c r="Q20" s="29" t="str">
        <f>VLOOKUP($D20,Lists!$J$1:$AB$29,12,FALSE)</f>
        <v>-</v>
      </c>
      <c r="R20" s="29" t="str">
        <f>VLOOKUP($D20,Lists!$J$1:$AB$29,13,FALSE)</f>
        <v>-</v>
      </c>
      <c r="S20" s="29" t="str">
        <f>VLOOKUP($D20,Lists!$J$1:$AB$29,14,FALSE)</f>
        <v>-</v>
      </c>
      <c r="T20" s="29" t="str">
        <f>VLOOKUP($D20,Lists!$J$1:$AB$29,15,FALSE)</f>
        <v>-</v>
      </c>
      <c r="U20" s="29" t="str">
        <f>VLOOKUP($D20,Lists!$J$1:$AB$29,16,FALSE)</f>
        <v>-</v>
      </c>
      <c r="V20" s="29" t="str">
        <f>VLOOKUP($D20,Lists!$J$1:$AB$29,17,FALSE)</f>
        <v>-</v>
      </c>
      <c r="W20" s="29" t="str">
        <f>VLOOKUP($D20,Lists!$J$1:$AB$29,18,FALSE)</f>
        <v>-</v>
      </c>
      <c r="X20" s="29" t="str">
        <f>VLOOKUP($D20,Lists!$J$1:$AB$29,19,FALSE)</f>
        <v>-</v>
      </c>
      <c r="Y20" s="29" t="str">
        <f>VLOOKUP($D20,Lists!$J$1:$AC$29,20,FALSE)</f>
        <v>-</v>
      </c>
      <c r="Z20" s="32" t="str">
        <f t="shared" si="0"/>
        <v>7</v>
      </c>
    </row>
    <row r="21" spans="1:26" x14ac:dyDescent="0.25">
      <c r="A21" t="s">
        <v>68</v>
      </c>
      <c r="B21" t="s">
        <v>54</v>
      </c>
      <c r="C21" s="16" t="str">
        <f>A21&amp;B21</f>
        <v>CosmosYellow 4</v>
      </c>
      <c r="D21" s="8">
        <f>122</f>
        <v>122</v>
      </c>
      <c r="E21" s="30" t="str">
        <f>A21&amp;D21</f>
        <v>Cosmos122</v>
      </c>
      <c r="F21" s="29" t="str">
        <f>VLOOKUP($D21,Lists!$J$1:$AB$29,2,FALSE)</f>
        <v>rr-Yy-Ss</v>
      </c>
      <c r="G21" t="s">
        <v>95</v>
      </c>
      <c r="H21" s="29" t="str">
        <f>VLOOKUP($D21,Lists!$J$1:$AB$29,3,FALSE)</f>
        <v>YS</v>
      </c>
      <c r="I21" s="29">
        <f>VLOOKUP($D21,Lists!$J$1:$AB$29,4,FALSE)</f>
        <v>4</v>
      </c>
      <c r="J21" s="29" t="str">
        <f>VLOOKUP($D21,Lists!$J$1:$AB$29,5,FALSE)</f>
        <v>rYS</v>
      </c>
      <c r="K21" s="29">
        <f>VLOOKUP($D21,Lists!$J$1:$AB$29,6,FALSE)</f>
        <v>122</v>
      </c>
      <c r="L21" s="29" t="str">
        <f>VLOOKUP($D21,Lists!$J$1:$AB$29,7,FALSE)</f>
        <v>ryS</v>
      </c>
      <c r="M21" s="29">
        <f>VLOOKUP($D21,Lists!$J$1:$AB$29,8,FALSE)</f>
        <v>112</v>
      </c>
      <c r="N21" s="29" t="str">
        <f>VLOOKUP($D21,Lists!$J$1:$AB$29,9,FALSE)</f>
        <v>rYs</v>
      </c>
      <c r="O21" s="29">
        <f>VLOOKUP($D21,Lists!$J$1:$AB$29,10,FALSE)</f>
        <v>121</v>
      </c>
      <c r="P21" s="29" t="str">
        <f>VLOOKUP($D21,Lists!$J$1:$AB$29,11,FALSE)</f>
        <v>rys</v>
      </c>
      <c r="Q21" s="29">
        <f>VLOOKUP($D21,Lists!$J$1:$AB$29,12,FALSE)</f>
        <v>111</v>
      </c>
      <c r="R21" s="29" t="str">
        <f>VLOOKUP($D21,Lists!$J$1:$AB$29,13,FALSE)</f>
        <v>-</v>
      </c>
      <c r="S21" s="29" t="str">
        <f>VLOOKUP($D21,Lists!$J$1:$AB$29,14,FALSE)</f>
        <v>-</v>
      </c>
      <c r="T21" s="29" t="str">
        <f>VLOOKUP($D21,Lists!$J$1:$AB$29,15,FALSE)</f>
        <v>-</v>
      </c>
      <c r="U21" s="29" t="str">
        <f>VLOOKUP($D21,Lists!$J$1:$AB$29,16,FALSE)</f>
        <v>-</v>
      </c>
      <c r="V21" s="29" t="str">
        <f>VLOOKUP($D21,Lists!$J$1:$AB$29,17,FALSE)</f>
        <v>-</v>
      </c>
      <c r="W21" s="29" t="str">
        <f>VLOOKUP($D21,Lists!$J$1:$AB$29,18,FALSE)</f>
        <v>-</v>
      </c>
      <c r="X21" s="29" t="str">
        <f>VLOOKUP($D21,Lists!$J$1:$AB$29,19,FALSE)</f>
        <v>-</v>
      </c>
      <c r="Y21" s="29" t="str">
        <f>VLOOKUP($D21,Lists!$J$1:$AC$29,20,FALSE)</f>
        <v>-</v>
      </c>
      <c r="Z21" s="32" t="str">
        <f t="shared" si="0"/>
        <v>4</v>
      </c>
    </row>
    <row r="22" spans="1:26" x14ac:dyDescent="0.25">
      <c r="A22" t="s">
        <v>68</v>
      </c>
      <c r="B22" t="s">
        <v>53</v>
      </c>
      <c r="C22" s="16" t="str">
        <f>A22&amp;B22</f>
        <v>CosmosYellow 5</v>
      </c>
      <c r="D22" s="8">
        <f>121</f>
        <v>121</v>
      </c>
      <c r="E22" s="30" t="str">
        <f>A22&amp;D22</f>
        <v>Cosmos121</v>
      </c>
      <c r="F22" s="29" t="str">
        <f>VLOOKUP($D22,Lists!$J$1:$AB$29,2,FALSE)</f>
        <v>rr-Yy-ss</v>
      </c>
      <c r="G22" t="s">
        <v>95</v>
      </c>
      <c r="H22" s="29" t="str">
        <f>VLOOKUP($D22,Lists!$J$1:$AB$29,3,FALSE)</f>
        <v>Y</v>
      </c>
      <c r="I22" s="29">
        <f>VLOOKUP($D22,Lists!$J$1:$AB$29,4,FALSE)</f>
        <v>2</v>
      </c>
      <c r="J22" s="29" t="str">
        <f>VLOOKUP($D22,Lists!$J$1:$AB$29,5,FALSE)</f>
        <v>rYs</v>
      </c>
      <c r="K22" s="29">
        <f>VLOOKUP($D22,Lists!$J$1:$AB$29,6,FALSE)</f>
        <v>121</v>
      </c>
      <c r="L22" s="29" t="str">
        <f>VLOOKUP($D22,Lists!$J$1:$AB$29,7,FALSE)</f>
        <v>rys</v>
      </c>
      <c r="M22" s="29">
        <f>VLOOKUP($D22,Lists!$J$1:$AB$29,8,FALSE)</f>
        <v>111</v>
      </c>
      <c r="N22" s="29" t="str">
        <f>VLOOKUP($D22,Lists!$J$1:$AB$29,9,FALSE)</f>
        <v>-</v>
      </c>
      <c r="O22" s="29" t="str">
        <f>VLOOKUP($D22,Lists!$J$1:$AB$29,10,FALSE)</f>
        <v>-</v>
      </c>
      <c r="P22" s="29" t="str">
        <f>VLOOKUP($D22,Lists!$J$1:$AB$29,11,FALSE)</f>
        <v>-</v>
      </c>
      <c r="Q22" s="29" t="str">
        <f>VLOOKUP($D22,Lists!$J$1:$AB$29,12,FALSE)</f>
        <v>-</v>
      </c>
      <c r="R22" s="29" t="str">
        <f>VLOOKUP($D22,Lists!$J$1:$AB$29,13,FALSE)</f>
        <v>-</v>
      </c>
      <c r="S22" s="29" t="str">
        <f>VLOOKUP($D22,Lists!$J$1:$AB$29,14,FALSE)</f>
        <v>-</v>
      </c>
      <c r="T22" s="29" t="str">
        <f>VLOOKUP($D22,Lists!$J$1:$AB$29,15,FALSE)</f>
        <v>-</v>
      </c>
      <c r="U22" s="29" t="str">
        <f>VLOOKUP($D22,Lists!$J$1:$AB$29,16,FALSE)</f>
        <v>-</v>
      </c>
      <c r="V22" s="29" t="str">
        <f>VLOOKUP($D22,Lists!$J$1:$AB$29,17,FALSE)</f>
        <v>-</v>
      </c>
      <c r="W22" s="29" t="str">
        <f>VLOOKUP($D22,Lists!$J$1:$AB$29,18,FALSE)</f>
        <v>-</v>
      </c>
      <c r="X22" s="29" t="str">
        <f>VLOOKUP($D22,Lists!$J$1:$AB$29,19,FALSE)</f>
        <v>-</v>
      </c>
      <c r="Y22" s="29" t="str">
        <f>VLOOKUP($D22,Lists!$J$1:$AC$29,20,FALSE)</f>
        <v>-</v>
      </c>
      <c r="Z22" s="32" t="str">
        <f t="shared" si="0"/>
        <v>5</v>
      </c>
    </row>
    <row r="23" spans="1:26" x14ac:dyDescent="0.25">
      <c r="A23" t="s">
        <v>68</v>
      </c>
      <c r="B23" t="s">
        <v>52</v>
      </c>
      <c r="C23" s="16" t="str">
        <f>A23&amp;B23</f>
        <v>CosmosWhite 4</v>
      </c>
      <c r="D23" s="8">
        <f>123</f>
        <v>123</v>
      </c>
      <c r="E23" s="30" t="str">
        <f>A23&amp;D23</f>
        <v>Cosmos123</v>
      </c>
      <c r="F23" s="29" t="str">
        <f>VLOOKUP($D23,Lists!$J$1:$AB$29,2,FALSE)</f>
        <v>rr-Yy-SS</v>
      </c>
      <c r="G23" t="s">
        <v>96</v>
      </c>
      <c r="H23" s="29" t="str">
        <f>VLOOKUP($D23,Lists!$J$1:$AB$29,3,FALSE)</f>
        <v>Y</v>
      </c>
      <c r="I23" s="29">
        <f>VLOOKUP($D23,Lists!$J$1:$AB$29,4,FALSE)</f>
        <v>2</v>
      </c>
      <c r="J23" s="29" t="str">
        <f>VLOOKUP($D23,Lists!$J$1:$AB$29,5,FALSE)</f>
        <v>rYS</v>
      </c>
      <c r="K23" s="29">
        <f>VLOOKUP($D23,Lists!$J$1:$AB$29,6,FALSE)</f>
        <v>122</v>
      </c>
      <c r="L23" s="29" t="str">
        <f>VLOOKUP($D23,Lists!$J$1:$AB$29,7,FALSE)</f>
        <v>ryS</v>
      </c>
      <c r="M23" s="29">
        <f>VLOOKUP($D23,Lists!$J$1:$AB$29,8,FALSE)</f>
        <v>112</v>
      </c>
      <c r="N23" s="29" t="str">
        <f>VLOOKUP($D23,Lists!$J$1:$AB$29,9,FALSE)</f>
        <v>-</v>
      </c>
      <c r="O23" s="29" t="str">
        <f>VLOOKUP($D23,Lists!$J$1:$AB$29,10,FALSE)</f>
        <v>-</v>
      </c>
      <c r="P23" s="29" t="str">
        <f>VLOOKUP($D23,Lists!$J$1:$AB$29,11,FALSE)</f>
        <v>-</v>
      </c>
      <c r="Q23" s="29" t="str">
        <f>VLOOKUP($D23,Lists!$J$1:$AB$29,12,FALSE)</f>
        <v>-</v>
      </c>
      <c r="R23" s="29" t="str">
        <f>VLOOKUP($D23,Lists!$J$1:$AB$29,13,FALSE)</f>
        <v>-</v>
      </c>
      <c r="S23" s="29" t="str">
        <f>VLOOKUP($D23,Lists!$J$1:$AB$29,14,FALSE)</f>
        <v>-</v>
      </c>
      <c r="T23" s="29" t="str">
        <f>VLOOKUP($D23,Lists!$J$1:$AB$29,15,FALSE)</f>
        <v>-</v>
      </c>
      <c r="U23" s="29" t="str">
        <f>VLOOKUP($D23,Lists!$J$1:$AB$29,16,FALSE)</f>
        <v>-</v>
      </c>
      <c r="V23" s="29" t="str">
        <f>VLOOKUP($D23,Lists!$J$1:$AB$29,17,FALSE)</f>
        <v>-</v>
      </c>
      <c r="W23" s="29" t="str">
        <f>VLOOKUP($D23,Lists!$J$1:$AB$29,18,FALSE)</f>
        <v>-</v>
      </c>
      <c r="X23" s="29" t="str">
        <f>VLOOKUP($D23,Lists!$J$1:$AB$29,19,FALSE)</f>
        <v>-</v>
      </c>
      <c r="Y23" s="29" t="str">
        <f>VLOOKUP($D23,Lists!$J$1:$AC$29,20,FALSE)</f>
        <v>-</v>
      </c>
      <c r="Z23" s="32" t="str">
        <f t="shared" si="0"/>
        <v>4</v>
      </c>
    </row>
    <row r="24" spans="1:26" x14ac:dyDescent="0.25">
      <c r="A24" t="s">
        <v>68</v>
      </c>
      <c r="B24" t="s">
        <v>58</v>
      </c>
      <c r="C24" s="16" t="str">
        <f>A24&amp;B24</f>
        <v>CosmosRed 3</v>
      </c>
      <c r="D24" s="8">
        <f>313</f>
        <v>313</v>
      </c>
      <c r="E24" s="30" t="str">
        <f>A24&amp;D24</f>
        <v>Cosmos313</v>
      </c>
      <c r="F24" s="29" t="str">
        <f>VLOOKUP($D24,Lists!$J$1:$AB$29,2,FALSE)</f>
        <v>RR-yy-SS</v>
      </c>
      <c r="G24" t="s">
        <v>94</v>
      </c>
      <c r="H24" s="29" t="str">
        <f>VLOOKUP($D24,Lists!$J$1:$AB$29,3,FALSE)</f>
        <v>-</v>
      </c>
      <c r="I24" s="29">
        <f>VLOOKUP($D24,Lists!$J$1:$AB$29,4,FALSE)</f>
        <v>1</v>
      </c>
      <c r="J24" s="29" t="str">
        <f>VLOOKUP($D24,Lists!$J$1:$AB$29,5,FALSE)</f>
        <v>RyS</v>
      </c>
      <c r="K24" s="29">
        <f>VLOOKUP($D24,Lists!$J$1:$AB$29,6,FALSE)</f>
        <v>212</v>
      </c>
      <c r="L24" s="29" t="str">
        <f>VLOOKUP($D24,Lists!$J$1:$AB$29,7,FALSE)</f>
        <v>-</v>
      </c>
      <c r="M24" s="29" t="str">
        <f>VLOOKUP($D24,Lists!$J$1:$AB$29,8,FALSE)</f>
        <v>-</v>
      </c>
      <c r="N24" s="29" t="str">
        <f>VLOOKUP($D24,Lists!$J$1:$AB$29,9,FALSE)</f>
        <v>-</v>
      </c>
      <c r="O24" s="29" t="str">
        <f>VLOOKUP($D24,Lists!$J$1:$AB$29,10,FALSE)</f>
        <v>-</v>
      </c>
      <c r="P24" s="29" t="str">
        <f>VLOOKUP($D24,Lists!$J$1:$AB$29,11,FALSE)</f>
        <v>-</v>
      </c>
      <c r="Q24" s="29" t="str">
        <f>VLOOKUP($D24,Lists!$J$1:$AB$29,12,FALSE)</f>
        <v>-</v>
      </c>
      <c r="R24" s="29" t="str">
        <f>VLOOKUP($D24,Lists!$J$1:$AB$29,13,FALSE)</f>
        <v>-</v>
      </c>
      <c r="S24" s="29" t="str">
        <f>VLOOKUP($D24,Lists!$J$1:$AB$29,14,FALSE)</f>
        <v>-</v>
      </c>
      <c r="T24" s="29" t="str">
        <f>VLOOKUP($D24,Lists!$J$1:$AB$29,15,FALSE)</f>
        <v>-</v>
      </c>
      <c r="U24" s="29" t="str">
        <f>VLOOKUP($D24,Lists!$J$1:$AB$29,16,FALSE)</f>
        <v>-</v>
      </c>
      <c r="V24" s="29" t="str">
        <f>VLOOKUP($D24,Lists!$J$1:$AB$29,17,FALSE)</f>
        <v>-</v>
      </c>
      <c r="W24" s="29" t="str">
        <f>VLOOKUP($D24,Lists!$J$1:$AB$29,18,FALSE)</f>
        <v>-</v>
      </c>
      <c r="X24" s="29" t="str">
        <f>VLOOKUP($D24,Lists!$J$1:$AB$29,19,FALSE)</f>
        <v>-</v>
      </c>
      <c r="Y24" s="29" t="str">
        <f>VLOOKUP($D24,Lists!$J$1:$AC$29,20,FALSE)</f>
        <v>-</v>
      </c>
      <c r="Z24" s="32" t="str">
        <f t="shared" si="0"/>
        <v>3</v>
      </c>
    </row>
    <row r="25" spans="1:26" x14ac:dyDescent="0.25">
      <c r="A25" t="s">
        <v>68</v>
      </c>
      <c r="B25" t="s">
        <v>46</v>
      </c>
      <c r="C25" s="16" t="str">
        <f>A25&amp;B25</f>
        <v>CosmosBlack 1</v>
      </c>
      <c r="D25" s="8">
        <f>332</f>
        <v>332</v>
      </c>
      <c r="E25" s="30" t="str">
        <f>A25&amp;D25</f>
        <v>Cosmos332</v>
      </c>
      <c r="F25" s="29" t="str">
        <f>VLOOKUP($D25,Lists!$J$1:$AB$29,2,FALSE)</f>
        <v>RR-YY-Ss</v>
      </c>
      <c r="G25" t="s">
        <v>99</v>
      </c>
      <c r="H25" s="29" t="str">
        <f>VLOOKUP($D25,Lists!$J$1:$AB$29,3,FALSE)</f>
        <v>S</v>
      </c>
      <c r="I25" s="29">
        <f>VLOOKUP($D25,Lists!$J$1:$AB$29,4,FALSE)</f>
        <v>2</v>
      </c>
      <c r="J25" s="29" t="str">
        <f>VLOOKUP($D25,Lists!$J$1:$AB$29,5,FALSE)</f>
        <v>RYS</v>
      </c>
      <c r="K25" s="29">
        <f>VLOOKUP($D25,Lists!$J$1:$AB$29,6,FALSE)</f>
        <v>222</v>
      </c>
      <c r="L25" s="29" t="str">
        <f>VLOOKUP($D25,Lists!$J$1:$AB$29,7,FALSE)</f>
        <v>Rys</v>
      </c>
      <c r="M25" s="29">
        <f>VLOOKUP($D25,Lists!$J$1:$AB$29,8,FALSE)</f>
        <v>211</v>
      </c>
      <c r="N25" s="29" t="str">
        <f>VLOOKUP($D25,Lists!$J$1:$AB$29,9,FALSE)</f>
        <v>-</v>
      </c>
      <c r="O25" s="29" t="str">
        <f>VLOOKUP($D25,Lists!$J$1:$AB$29,10,FALSE)</f>
        <v>-</v>
      </c>
      <c r="P25" s="29" t="str">
        <f>VLOOKUP($D25,Lists!$J$1:$AB$29,11,FALSE)</f>
        <v>-</v>
      </c>
      <c r="Q25" s="29" t="str">
        <f>VLOOKUP($D25,Lists!$J$1:$AB$29,12,FALSE)</f>
        <v>-</v>
      </c>
      <c r="R25" s="29" t="str">
        <f>VLOOKUP($D25,Lists!$J$1:$AB$29,13,FALSE)</f>
        <v>-</v>
      </c>
      <c r="S25" s="29" t="str">
        <f>VLOOKUP($D25,Lists!$J$1:$AB$29,14,FALSE)</f>
        <v>-</v>
      </c>
      <c r="T25" s="29" t="str">
        <f>VLOOKUP($D25,Lists!$J$1:$AB$29,15,FALSE)</f>
        <v>-</v>
      </c>
      <c r="U25" s="29" t="str">
        <f>VLOOKUP($D25,Lists!$J$1:$AB$29,16,FALSE)</f>
        <v>-</v>
      </c>
      <c r="V25" s="29" t="str">
        <f>VLOOKUP($D25,Lists!$J$1:$AB$29,17,FALSE)</f>
        <v>-</v>
      </c>
      <c r="W25" s="29" t="str">
        <f>VLOOKUP($D25,Lists!$J$1:$AB$29,18,FALSE)</f>
        <v>-</v>
      </c>
      <c r="X25" s="29" t="str">
        <f>VLOOKUP($D25,Lists!$J$1:$AB$29,19,FALSE)</f>
        <v>-</v>
      </c>
      <c r="Y25" s="29" t="str">
        <f>VLOOKUP($D25,Lists!$J$1:$AC$29,20,FALSE)</f>
        <v>-</v>
      </c>
      <c r="Z25" s="32" t="str">
        <f t="shared" si="0"/>
        <v>1</v>
      </c>
    </row>
    <row r="26" spans="1:26" x14ac:dyDescent="0.25">
      <c r="A26" t="s">
        <v>68</v>
      </c>
      <c r="B26" t="s">
        <v>47</v>
      </c>
      <c r="C26" s="16" t="str">
        <f>A26&amp;B26</f>
        <v>CosmosBlack 2</v>
      </c>
      <c r="D26" s="8">
        <v>331</v>
      </c>
      <c r="E26" s="30" t="str">
        <f>A26&amp;D26</f>
        <v>Cosmos331</v>
      </c>
      <c r="F26" s="29" t="str">
        <f>VLOOKUP($D26,Lists!$J$1:$AB$29,2,FALSE)</f>
        <v>RR-YY-ss</v>
      </c>
      <c r="G26" t="s">
        <v>99</v>
      </c>
      <c r="H26" s="29" t="str">
        <f>VLOOKUP($D26,Lists!$J$1:$AB$29,3,FALSE)</f>
        <v>-</v>
      </c>
      <c r="I26" s="29">
        <f>VLOOKUP($D26,Lists!$J$1:$AB$29,4,FALSE)</f>
        <v>1</v>
      </c>
      <c r="J26" s="29" t="str">
        <f>VLOOKUP($D26,Lists!$J$1:$AB$29,5,FALSE)</f>
        <v>RYs</v>
      </c>
      <c r="K26" s="29">
        <f>VLOOKUP($D26,Lists!$J$1:$AB$29,6,FALSE)</f>
        <v>221</v>
      </c>
      <c r="L26" s="29" t="str">
        <f>VLOOKUP($D26,Lists!$J$1:$AB$29,7,FALSE)</f>
        <v>-</v>
      </c>
      <c r="M26" s="29" t="str">
        <f>VLOOKUP($D26,Lists!$J$1:$AB$29,8,FALSE)</f>
        <v>-</v>
      </c>
      <c r="N26" s="29" t="str">
        <f>VLOOKUP($D26,Lists!$J$1:$AB$29,9,FALSE)</f>
        <v>-</v>
      </c>
      <c r="O26" s="29" t="str">
        <f>VLOOKUP($D26,Lists!$J$1:$AB$29,10,FALSE)</f>
        <v>-</v>
      </c>
      <c r="P26" s="29" t="str">
        <f>VLOOKUP($D26,Lists!$J$1:$AB$29,11,FALSE)</f>
        <v>-</v>
      </c>
      <c r="Q26" s="29" t="str">
        <f>VLOOKUP($D26,Lists!$J$1:$AB$29,12,FALSE)</f>
        <v>-</v>
      </c>
      <c r="R26" s="29" t="str">
        <f>VLOOKUP($D26,Lists!$J$1:$AB$29,13,FALSE)</f>
        <v>-</v>
      </c>
      <c r="S26" s="29" t="str">
        <f>VLOOKUP($D26,Lists!$J$1:$AB$29,14,FALSE)</f>
        <v>-</v>
      </c>
      <c r="T26" s="29" t="str">
        <f>VLOOKUP($D26,Lists!$J$1:$AB$29,15,FALSE)</f>
        <v>-</v>
      </c>
      <c r="U26" s="29" t="str">
        <f>VLOOKUP($D26,Lists!$J$1:$AB$29,16,FALSE)</f>
        <v>-</v>
      </c>
      <c r="V26" s="29" t="str">
        <f>VLOOKUP($D26,Lists!$J$1:$AB$29,17,FALSE)</f>
        <v>-</v>
      </c>
      <c r="W26" s="29" t="str">
        <f>VLOOKUP($D26,Lists!$J$1:$AB$29,18,FALSE)</f>
        <v>-</v>
      </c>
      <c r="X26" s="29" t="str">
        <f>VLOOKUP($D26,Lists!$J$1:$AB$29,19,FALSE)</f>
        <v>-</v>
      </c>
      <c r="Y26" s="29" t="str">
        <f>VLOOKUP($D26,Lists!$J$1:$AC$29,20,FALSE)</f>
        <v>-</v>
      </c>
      <c r="Z26" s="32" t="str">
        <f t="shared" si="0"/>
        <v>2</v>
      </c>
    </row>
    <row r="27" spans="1:26" x14ac:dyDescent="0.25">
      <c r="A27" t="s">
        <v>68</v>
      </c>
      <c r="B27" t="s">
        <v>57</v>
      </c>
      <c r="C27" s="16" t="str">
        <f>A27&amp;B27</f>
        <v>CosmosRed 4</v>
      </c>
      <c r="D27" s="8">
        <v>333</v>
      </c>
      <c r="E27" s="30" t="str">
        <f>A27&amp;D27</f>
        <v>Cosmos333</v>
      </c>
      <c r="F27" s="29" t="str">
        <f>VLOOKUP($D27,Lists!$J$1:$AB$29,2,FALSE)</f>
        <v>RR-YY-SS</v>
      </c>
      <c r="G27" t="s">
        <v>94</v>
      </c>
      <c r="H27" s="29" t="str">
        <f>VLOOKUP($D27,Lists!$J$1:$AB$29,3,FALSE)</f>
        <v>-</v>
      </c>
      <c r="I27" s="29">
        <f>VLOOKUP($D27,Lists!$J$1:$AB$29,4,FALSE)</f>
        <v>1</v>
      </c>
      <c r="J27" s="29" t="str">
        <f>VLOOKUP($D27,Lists!$J$1:$AB$29,5,FALSE)</f>
        <v>RYS</v>
      </c>
      <c r="K27" s="29">
        <f>VLOOKUP($D27,Lists!$J$1:$AB$29,6,FALSE)</f>
        <v>222</v>
      </c>
      <c r="L27" s="29" t="str">
        <f>VLOOKUP($D27,Lists!$J$1:$AB$29,7,FALSE)</f>
        <v>-</v>
      </c>
      <c r="M27" s="29" t="str">
        <f>VLOOKUP($D27,Lists!$J$1:$AB$29,8,FALSE)</f>
        <v>-</v>
      </c>
      <c r="N27" s="29" t="str">
        <f>VLOOKUP($D27,Lists!$J$1:$AB$29,9,FALSE)</f>
        <v>-</v>
      </c>
      <c r="O27" s="29" t="str">
        <f>VLOOKUP($D27,Lists!$J$1:$AB$29,10,FALSE)</f>
        <v>-</v>
      </c>
      <c r="P27" s="29" t="str">
        <f>VLOOKUP($D27,Lists!$J$1:$AB$29,11,FALSE)</f>
        <v>-</v>
      </c>
      <c r="Q27" s="29" t="str">
        <f>VLOOKUP($D27,Lists!$J$1:$AB$29,12,FALSE)</f>
        <v>-</v>
      </c>
      <c r="R27" s="29" t="str">
        <f>VLOOKUP($D27,Lists!$J$1:$AB$29,13,FALSE)</f>
        <v>-</v>
      </c>
      <c r="S27" s="29" t="str">
        <f>VLOOKUP($D27,Lists!$J$1:$AB$29,14,FALSE)</f>
        <v>-</v>
      </c>
      <c r="T27" s="29" t="str">
        <f>VLOOKUP($D27,Lists!$J$1:$AB$29,15,FALSE)</f>
        <v>-</v>
      </c>
      <c r="U27" s="29" t="str">
        <f>VLOOKUP($D27,Lists!$J$1:$AB$29,16,FALSE)</f>
        <v>-</v>
      </c>
      <c r="V27" s="29" t="str">
        <f>VLOOKUP($D27,Lists!$J$1:$AB$29,17,FALSE)</f>
        <v>-</v>
      </c>
      <c r="W27" s="29" t="str">
        <f>VLOOKUP($D27,Lists!$J$1:$AB$29,18,FALSE)</f>
        <v>-</v>
      </c>
      <c r="X27" s="29" t="str">
        <f>VLOOKUP($D27,Lists!$J$1:$AB$29,19,FALSE)</f>
        <v>-</v>
      </c>
      <c r="Y27" s="29" t="str">
        <f>VLOOKUP($D27,Lists!$J$1:$AC$29,20,FALSE)</f>
        <v>-</v>
      </c>
      <c r="Z27" s="32" t="str">
        <f t="shared" si="0"/>
        <v>4</v>
      </c>
    </row>
    <row r="28" spans="1:26" x14ac:dyDescent="0.25">
      <c r="A28" t="s">
        <v>68</v>
      </c>
      <c r="B28" t="s">
        <v>59</v>
      </c>
      <c r="C28" s="16" t="str">
        <f>A28&amp;B28</f>
        <v>CosmosRed 5</v>
      </c>
      <c r="D28" s="8">
        <v>323</v>
      </c>
      <c r="E28" s="30" t="str">
        <f>A28&amp;D28</f>
        <v>Cosmos323</v>
      </c>
      <c r="F28" s="29" t="str">
        <f>VLOOKUP($D28,Lists!$J$1:$AB$29,2,FALSE)</f>
        <v>RR-Yy-SS</v>
      </c>
      <c r="G28" t="s">
        <v>94</v>
      </c>
      <c r="H28" s="29" t="str">
        <f>VLOOKUP($D28,Lists!$J$1:$AB$29,3,FALSE)</f>
        <v>Y</v>
      </c>
      <c r="I28" s="29">
        <f>VLOOKUP($D28,Lists!$J$1:$AB$29,4,FALSE)</f>
        <v>2</v>
      </c>
      <c r="J28" s="29" t="str">
        <f>VLOOKUP($D28,Lists!$J$1:$AB$29,5,FALSE)</f>
        <v>RYS</v>
      </c>
      <c r="K28" s="29">
        <f>VLOOKUP($D28,Lists!$J$1:$AB$29,6,FALSE)</f>
        <v>222</v>
      </c>
      <c r="L28" s="29" t="str">
        <f>VLOOKUP($D28,Lists!$J$1:$AB$29,7,FALSE)</f>
        <v>RyS</v>
      </c>
      <c r="M28" s="29">
        <f>VLOOKUP($D28,Lists!$J$1:$AB$29,8,FALSE)</f>
        <v>212</v>
      </c>
      <c r="N28" s="29" t="str">
        <f>VLOOKUP($D28,Lists!$J$1:$AB$29,9,FALSE)</f>
        <v>-</v>
      </c>
      <c r="O28" s="29" t="str">
        <f>VLOOKUP($D28,Lists!$J$1:$AB$29,10,FALSE)</f>
        <v>-</v>
      </c>
      <c r="P28" s="29" t="str">
        <f>VLOOKUP($D28,Lists!$J$1:$AB$29,11,FALSE)</f>
        <v>-</v>
      </c>
      <c r="Q28" s="29" t="str">
        <f>VLOOKUP($D28,Lists!$J$1:$AB$29,12,FALSE)</f>
        <v>-</v>
      </c>
      <c r="R28" s="29" t="str">
        <f>VLOOKUP($D28,Lists!$J$1:$AB$29,13,FALSE)</f>
        <v>-</v>
      </c>
      <c r="S28" s="29" t="str">
        <f>VLOOKUP($D28,Lists!$J$1:$AB$29,14,FALSE)</f>
        <v>-</v>
      </c>
      <c r="T28" s="29" t="str">
        <f>VLOOKUP($D28,Lists!$J$1:$AB$29,15,FALSE)</f>
        <v>-</v>
      </c>
      <c r="U28" s="29" t="str">
        <f>VLOOKUP($D28,Lists!$J$1:$AB$29,16,FALSE)</f>
        <v>-</v>
      </c>
      <c r="V28" s="29" t="str">
        <f>VLOOKUP($D28,Lists!$J$1:$AB$29,17,FALSE)</f>
        <v>-</v>
      </c>
      <c r="W28" s="29" t="str">
        <f>VLOOKUP($D28,Lists!$J$1:$AB$29,18,FALSE)</f>
        <v>-</v>
      </c>
      <c r="X28" s="29" t="str">
        <f>VLOOKUP($D28,Lists!$J$1:$AB$29,19,FALSE)</f>
        <v>-</v>
      </c>
      <c r="Y28" s="29" t="str">
        <f>VLOOKUP($D28,Lists!$J$1:$AC$29,20,FALSE)</f>
        <v>-</v>
      </c>
      <c r="Z28" s="32" t="str">
        <f t="shared" si="0"/>
        <v>5</v>
      </c>
    </row>
    <row r="29" spans="1:26" x14ac:dyDescent="0.25">
      <c r="A29" t="s">
        <v>78</v>
      </c>
      <c r="B29" t="s">
        <v>77</v>
      </c>
      <c r="C29" s="16" t="str">
        <f>A29&amp;B29</f>
        <v>LiliesRed Seed</v>
      </c>
      <c r="D29" s="8">
        <v>312</v>
      </c>
      <c r="E29" s="30" t="str">
        <f>A29&amp;D29</f>
        <v>Lilies312</v>
      </c>
      <c r="F29" s="29" t="str">
        <f>VLOOKUP($D29,Lists!$J$1:$AB$29,2,FALSE)</f>
        <v>RR-yy-Ss</v>
      </c>
      <c r="G29" t="s">
        <v>94</v>
      </c>
      <c r="H29" s="29" t="str">
        <f>VLOOKUP($D29,Lists!$J$1:$AB$29,3,FALSE)</f>
        <v>S</v>
      </c>
      <c r="I29" s="29">
        <f>VLOOKUP($D29,Lists!$J$1:$AB$29,4,FALSE)</f>
        <v>2</v>
      </c>
      <c r="J29" s="29" t="str">
        <f>VLOOKUP($D29,Lists!$J$1:$AB$29,5,FALSE)</f>
        <v>RyS</v>
      </c>
      <c r="K29" s="29">
        <f>VLOOKUP($D29,Lists!$J$1:$AB$29,6,FALSE)</f>
        <v>212</v>
      </c>
      <c r="L29" s="29" t="str">
        <f>VLOOKUP($D29,Lists!$J$1:$AB$29,7,FALSE)</f>
        <v>Rys</v>
      </c>
      <c r="M29" s="29">
        <f>VLOOKUP($D29,Lists!$J$1:$AB$29,8,FALSE)</f>
        <v>211</v>
      </c>
      <c r="N29" s="29" t="str">
        <f>VLOOKUP($D29,Lists!$J$1:$AB$29,9,FALSE)</f>
        <v>-</v>
      </c>
      <c r="O29" s="29" t="str">
        <f>VLOOKUP($D29,Lists!$J$1:$AB$29,10,FALSE)</f>
        <v>-</v>
      </c>
      <c r="P29" s="29" t="str">
        <f>VLOOKUP($D29,Lists!$J$1:$AB$29,11,FALSE)</f>
        <v>-</v>
      </c>
      <c r="Q29" s="29" t="str">
        <f>VLOOKUP($D29,Lists!$J$1:$AB$29,12,FALSE)</f>
        <v>-</v>
      </c>
      <c r="R29" s="29" t="str">
        <f>VLOOKUP($D29,Lists!$J$1:$AB$29,13,FALSE)</f>
        <v>-</v>
      </c>
      <c r="S29" s="29" t="str">
        <f>VLOOKUP($D29,Lists!$J$1:$AB$29,14,FALSE)</f>
        <v>-</v>
      </c>
      <c r="T29" s="29" t="str">
        <f>VLOOKUP($D29,Lists!$J$1:$AB$29,15,FALSE)</f>
        <v>-</v>
      </c>
      <c r="U29" s="29" t="str">
        <f>VLOOKUP($D29,Lists!$J$1:$AB$29,16,FALSE)</f>
        <v>-</v>
      </c>
      <c r="V29" s="29" t="str">
        <f>VLOOKUP($D29,Lists!$J$1:$AB$29,17,FALSE)</f>
        <v>-</v>
      </c>
      <c r="W29" s="29" t="str">
        <f>VLOOKUP($D29,Lists!$J$1:$AB$29,18,FALSE)</f>
        <v>-</v>
      </c>
      <c r="X29" s="29" t="str">
        <f>VLOOKUP($D29,Lists!$J$1:$AB$29,19,FALSE)</f>
        <v>-</v>
      </c>
      <c r="Y29" s="29" t="str">
        <f>VLOOKUP($D29,Lists!$J$1:$AC$29,20,FALSE)</f>
        <v>-</v>
      </c>
      <c r="Z29" s="32" t="s">
        <v>141</v>
      </c>
    </row>
    <row r="30" spans="1:26" x14ac:dyDescent="0.25">
      <c r="A30" t="s">
        <v>78</v>
      </c>
      <c r="B30" t="s">
        <v>84</v>
      </c>
      <c r="C30" s="16" t="str">
        <f>A30&amp;B30</f>
        <v>LiliesYellow Seed</v>
      </c>
      <c r="D30" s="8">
        <f>131</f>
        <v>131</v>
      </c>
      <c r="E30" s="30" t="str">
        <f>A30&amp;D30</f>
        <v>Lilies131</v>
      </c>
      <c r="F30" s="29" t="str">
        <f>VLOOKUP($D30,Lists!$J$1:$AB$29,2,FALSE)</f>
        <v>rr-YY-ss</v>
      </c>
      <c r="G30" t="s">
        <v>95</v>
      </c>
      <c r="H30" s="29" t="str">
        <f>VLOOKUP($D30,Lists!$J$1:$AB$29,3,FALSE)</f>
        <v>-</v>
      </c>
      <c r="I30" s="29">
        <f>VLOOKUP($D30,Lists!$J$1:$AB$29,4,FALSE)</f>
        <v>1</v>
      </c>
      <c r="J30" s="29" t="str">
        <f>VLOOKUP($D30,Lists!$J$1:$AB$29,5,FALSE)</f>
        <v>rYs</v>
      </c>
      <c r="K30" s="29">
        <f>VLOOKUP($D30,Lists!$J$1:$AB$29,6,FALSE)</f>
        <v>121</v>
      </c>
      <c r="L30" s="29" t="str">
        <f>VLOOKUP($D30,Lists!$J$1:$AB$29,7,FALSE)</f>
        <v>-</v>
      </c>
      <c r="M30" s="29" t="str">
        <f>VLOOKUP($D30,Lists!$J$1:$AB$29,8,FALSE)</f>
        <v>-</v>
      </c>
      <c r="N30" s="29" t="str">
        <f>VLOOKUP($D30,Lists!$J$1:$AB$29,9,FALSE)</f>
        <v>-</v>
      </c>
      <c r="O30" s="29" t="str">
        <f>VLOOKUP($D30,Lists!$J$1:$AB$29,10,FALSE)</f>
        <v>-</v>
      </c>
      <c r="P30" s="29" t="str">
        <f>VLOOKUP($D30,Lists!$J$1:$AB$29,11,FALSE)</f>
        <v>-</v>
      </c>
      <c r="Q30" s="29" t="str">
        <f>VLOOKUP($D30,Lists!$J$1:$AB$29,12,FALSE)</f>
        <v>-</v>
      </c>
      <c r="R30" s="29" t="str">
        <f>VLOOKUP($D30,Lists!$J$1:$AB$29,13,FALSE)</f>
        <v>-</v>
      </c>
      <c r="S30" s="29" t="str">
        <f>VLOOKUP($D30,Lists!$J$1:$AB$29,14,FALSE)</f>
        <v>-</v>
      </c>
      <c r="T30" s="29" t="str">
        <f>VLOOKUP($D30,Lists!$J$1:$AB$29,15,FALSE)</f>
        <v>-</v>
      </c>
      <c r="U30" s="29" t="str">
        <f>VLOOKUP($D30,Lists!$J$1:$AB$29,16,FALSE)</f>
        <v>-</v>
      </c>
      <c r="V30" s="29" t="str">
        <f>VLOOKUP($D30,Lists!$J$1:$AB$29,17,FALSE)</f>
        <v>-</v>
      </c>
      <c r="W30" s="29" t="str">
        <f>VLOOKUP($D30,Lists!$J$1:$AB$29,18,FALSE)</f>
        <v>-</v>
      </c>
      <c r="X30" s="29" t="str">
        <f>VLOOKUP($D30,Lists!$J$1:$AB$29,19,FALSE)</f>
        <v>-</v>
      </c>
      <c r="Y30" s="29" t="str">
        <f>VLOOKUP($D30,Lists!$J$1:$AC$29,20,FALSE)</f>
        <v>-</v>
      </c>
      <c r="Z30" s="32" t="s">
        <v>141</v>
      </c>
    </row>
    <row r="31" spans="1:26" x14ac:dyDescent="0.25">
      <c r="A31" t="s">
        <v>78</v>
      </c>
      <c r="B31" t="s">
        <v>85</v>
      </c>
      <c r="C31" s="16" t="str">
        <f>A31&amp;B31</f>
        <v>LiliesWhite Seed</v>
      </c>
      <c r="D31" s="8">
        <f>113</f>
        <v>113</v>
      </c>
      <c r="E31" s="30" t="str">
        <f>A31&amp;D31</f>
        <v>Lilies113</v>
      </c>
      <c r="F31" s="29" t="str">
        <f>VLOOKUP($D31,Lists!$J$1:$AB$29,2,FALSE)</f>
        <v>rr-yy-SS</v>
      </c>
      <c r="G31" t="s">
        <v>96</v>
      </c>
      <c r="H31" s="29" t="str">
        <f>VLOOKUP($D31,Lists!$J$1:$AB$29,3,FALSE)</f>
        <v>-</v>
      </c>
      <c r="I31" s="29">
        <f>VLOOKUP($D31,Lists!$J$1:$AB$29,4,FALSE)</f>
        <v>1</v>
      </c>
      <c r="J31" s="29" t="str">
        <f>VLOOKUP($D31,Lists!$J$1:$AB$29,5,FALSE)</f>
        <v>ryS</v>
      </c>
      <c r="K31" s="29">
        <f>VLOOKUP($D31,Lists!$J$1:$AB$29,6,FALSE)</f>
        <v>112</v>
      </c>
      <c r="L31" s="29" t="str">
        <f>VLOOKUP($D31,Lists!$J$1:$AB$29,7,FALSE)</f>
        <v>-</v>
      </c>
      <c r="M31" s="29" t="str">
        <f>VLOOKUP($D31,Lists!$J$1:$AB$29,8,FALSE)</f>
        <v>-</v>
      </c>
      <c r="N31" s="29" t="str">
        <f>VLOOKUP($D31,Lists!$J$1:$AB$29,9,FALSE)</f>
        <v>-</v>
      </c>
      <c r="O31" s="29" t="str">
        <f>VLOOKUP($D31,Lists!$J$1:$AB$29,10,FALSE)</f>
        <v>-</v>
      </c>
      <c r="P31" s="29" t="str">
        <f>VLOOKUP($D31,Lists!$J$1:$AB$29,11,FALSE)</f>
        <v>-</v>
      </c>
      <c r="Q31" s="29" t="str">
        <f>VLOOKUP($D31,Lists!$J$1:$AB$29,12,FALSE)</f>
        <v>-</v>
      </c>
      <c r="R31" s="29" t="str">
        <f>VLOOKUP($D31,Lists!$J$1:$AB$29,13,FALSE)</f>
        <v>-</v>
      </c>
      <c r="S31" s="29" t="str">
        <f>VLOOKUP($D31,Lists!$J$1:$AB$29,14,FALSE)</f>
        <v>-</v>
      </c>
      <c r="T31" s="29" t="str">
        <f>VLOOKUP($D31,Lists!$J$1:$AB$29,15,FALSE)</f>
        <v>-</v>
      </c>
      <c r="U31" s="29" t="str">
        <f>VLOOKUP($D31,Lists!$J$1:$AB$29,16,FALSE)</f>
        <v>-</v>
      </c>
      <c r="V31" s="29" t="str">
        <f>VLOOKUP($D31,Lists!$J$1:$AB$29,17,FALSE)</f>
        <v>-</v>
      </c>
      <c r="W31" s="29" t="str">
        <f>VLOOKUP($D31,Lists!$J$1:$AB$29,18,FALSE)</f>
        <v>-</v>
      </c>
      <c r="X31" s="29" t="str">
        <f>VLOOKUP($D31,Lists!$J$1:$AB$29,19,FALSE)</f>
        <v>-</v>
      </c>
      <c r="Y31" s="29" t="str">
        <f>VLOOKUP($D31,Lists!$J$1:$AC$29,20,FALSE)</f>
        <v>-</v>
      </c>
      <c r="Z31" s="32" t="s">
        <v>141</v>
      </c>
    </row>
    <row r="32" spans="1:26" x14ac:dyDescent="0.25">
      <c r="A32" t="s">
        <v>78</v>
      </c>
      <c r="B32" t="s">
        <v>46</v>
      </c>
      <c r="C32" s="16" t="str">
        <f>A32&amp;B32</f>
        <v>LiliesBlack 1</v>
      </c>
      <c r="D32" s="8">
        <f>311</f>
        <v>311</v>
      </c>
      <c r="E32" s="30" t="str">
        <f>A32&amp;D32</f>
        <v>Lilies311</v>
      </c>
      <c r="F32" s="29" t="str">
        <f>VLOOKUP($D32,Lists!$J$1:$AB$29,2,FALSE)</f>
        <v>RR-yy-ss</v>
      </c>
      <c r="G32" t="s">
        <v>99</v>
      </c>
      <c r="H32" s="29" t="str">
        <f>VLOOKUP($D32,Lists!$J$1:$AB$29,3,FALSE)</f>
        <v>-</v>
      </c>
      <c r="I32" s="29">
        <f>VLOOKUP($D32,Lists!$J$1:$AB$29,4,FALSE)</f>
        <v>1</v>
      </c>
      <c r="J32" s="29" t="str">
        <f>VLOOKUP($D32,Lists!$J$1:$AB$29,5,FALSE)</f>
        <v>Rys</v>
      </c>
      <c r="K32" s="29">
        <f>VLOOKUP($D32,Lists!$J$1:$AB$29,6,FALSE)</f>
        <v>211</v>
      </c>
      <c r="L32" s="29" t="str">
        <f>VLOOKUP($D32,Lists!$J$1:$AB$29,7,FALSE)</f>
        <v>-</v>
      </c>
      <c r="M32" s="29" t="str">
        <f>VLOOKUP($D32,Lists!$J$1:$AB$29,8,FALSE)</f>
        <v>-</v>
      </c>
      <c r="N32" s="29" t="str">
        <f>VLOOKUP($D32,Lists!$J$1:$AB$29,9,FALSE)</f>
        <v>-</v>
      </c>
      <c r="O32" s="29" t="str">
        <f>VLOOKUP($D32,Lists!$J$1:$AB$29,10,FALSE)</f>
        <v>-</v>
      </c>
      <c r="P32" s="29" t="str">
        <f>VLOOKUP($D32,Lists!$J$1:$AB$29,11,FALSE)</f>
        <v>-</v>
      </c>
      <c r="Q32" s="29" t="str">
        <f>VLOOKUP($D32,Lists!$J$1:$AB$29,12,FALSE)</f>
        <v>-</v>
      </c>
      <c r="R32" s="29" t="str">
        <f>VLOOKUP($D32,Lists!$J$1:$AB$29,13,FALSE)</f>
        <v>-</v>
      </c>
      <c r="S32" s="29" t="str">
        <f>VLOOKUP($D32,Lists!$J$1:$AB$29,14,FALSE)</f>
        <v>-</v>
      </c>
      <c r="T32" s="29" t="str">
        <f>VLOOKUP($D32,Lists!$J$1:$AB$29,15,FALSE)</f>
        <v>-</v>
      </c>
      <c r="U32" s="29" t="str">
        <f>VLOOKUP($D32,Lists!$J$1:$AB$29,16,FALSE)</f>
        <v>-</v>
      </c>
      <c r="V32" s="29" t="str">
        <f>VLOOKUP($D32,Lists!$J$1:$AB$29,17,FALSE)</f>
        <v>-</v>
      </c>
      <c r="W32" s="29" t="str">
        <f>VLOOKUP($D32,Lists!$J$1:$AB$29,18,FALSE)</f>
        <v>-</v>
      </c>
      <c r="X32" s="29" t="str">
        <f>VLOOKUP($D32,Lists!$J$1:$AB$29,19,FALSE)</f>
        <v>-</v>
      </c>
      <c r="Y32" s="29" t="str">
        <f>VLOOKUP($D32,Lists!$J$1:$AC$29,20,FALSE)</f>
        <v>-</v>
      </c>
      <c r="Z32" s="32" t="str">
        <f t="shared" si="0"/>
        <v>1</v>
      </c>
    </row>
    <row r="33" spans="1:26" x14ac:dyDescent="0.25">
      <c r="A33" t="s">
        <v>78</v>
      </c>
      <c r="B33" t="s">
        <v>47</v>
      </c>
      <c r="C33" s="16" t="str">
        <f>A33&amp;B33</f>
        <v>LiliesBlack 2</v>
      </c>
      <c r="D33" s="8">
        <f>321</f>
        <v>321</v>
      </c>
      <c r="E33" s="30" t="str">
        <f>A33&amp;D33</f>
        <v>Lilies321</v>
      </c>
      <c r="F33" s="29" t="str">
        <f>VLOOKUP($D33,Lists!$J$1:$AB$29,2,FALSE)</f>
        <v>RR-Yy-ss</v>
      </c>
      <c r="G33" t="s">
        <v>99</v>
      </c>
      <c r="H33" s="29" t="str">
        <f>VLOOKUP($D33,Lists!$J$1:$AB$29,3,FALSE)</f>
        <v>Y</v>
      </c>
      <c r="I33" s="29">
        <f>VLOOKUP($D33,Lists!$J$1:$AB$29,4,FALSE)</f>
        <v>2</v>
      </c>
      <c r="J33" s="29" t="str">
        <f>VLOOKUP($D33,Lists!$J$1:$AB$29,5,FALSE)</f>
        <v>RYs</v>
      </c>
      <c r="K33" s="29">
        <f>VLOOKUP($D33,Lists!$J$1:$AB$29,6,FALSE)</f>
        <v>221</v>
      </c>
      <c r="L33" s="29" t="str">
        <f>VLOOKUP($D33,Lists!$J$1:$AB$29,7,FALSE)</f>
        <v>Rys</v>
      </c>
      <c r="M33" s="29">
        <f>VLOOKUP($D33,Lists!$J$1:$AB$29,8,FALSE)</f>
        <v>211</v>
      </c>
      <c r="N33" s="29" t="str">
        <f>VLOOKUP($D33,Lists!$J$1:$AB$29,9,FALSE)</f>
        <v>-</v>
      </c>
      <c r="O33" s="29" t="str">
        <f>VLOOKUP($D33,Lists!$J$1:$AB$29,10,FALSE)</f>
        <v>-</v>
      </c>
      <c r="P33" s="29" t="str">
        <f>VLOOKUP($D33,Lists!$J$1:$AB$29,11,FALSE)</f>
        <v>-</v>
      </c>
      <c r="Q33" s="29" t="str">
        <f>VLOOKUP($D33,Lists!$J$1:$AB$29,12,FALSE)</f>
        <v>-</v>
      </c>
      <c r="R33" s="29" t="str">
        <f>VLOOKUP($D33,Lists!$J$1:$AB$29,13,FALSE)</f>
        <v>-</v>
      </c>
      <c r="S33" s="29" t="str">
        <f>VLOOKUP($D33,Lists!$J$1:$AB$29,14,FALSE)</f>
        <v>-</v>
      </c>
      <c r="T33" s="29" t="str">
        <f>VLOOKUP($D33,Lists!$J$1:$AB$29,15,FALSE)</f>
        <v>-</v>
      </c>
      <c r="U33" s="29" t="str">
        <f>VLOOKUP($D33,Lists!$J$1:$AB$29,16,FALSE)</f>
        <v>-</v>
      </c>
      <c r="V33" s="29" t="str">
        <f>VLOOKUP($D33,Lists!$J$1:$AB$29,17,FALSE)</f>
        <v>-</v>
      </c>
      <c r="W33" s="29" t="str">
        <f>VLOOKUP($D33,Lists!$J$1:$AB$29,18,FALSE)</f>
        <v>-</v>
      </c>
      <c r="X33" s="29" t="str">
        <f>VLOOKUP($D33,Lists!$J$1:$AB$29,19,FALSE)</f>
        <v>-</v>
      </c>
      <c r="Y33" s="29" t="str">
        <f>VLOOKUP($D33,Lists!$J$1:$AC$29,20,FALSE)</f>
        <v>-</v>
      </c>
      <c r="Z33" s="32" t="str">
        <f t="shared" si="0"/>
        <v>2</v>
      </c>
    </row>
    <row r="34" spans="1:26" x14ac:dyDescent="0.25">
      <c r="A34" t="s">
        <v>78</v>
      </c>
      <c r="B34" t="s">
        <v>18</v>
      </c>
      <c r="C34" s="16" t="str">
        <f>A34&amp;B34</f>
        <v>LiliesOrange 1</v>
      </c>
      <c r="D34" s="8">
        <f>221</f>
        <v>221</v>
      </c>
      <c r="E34" s="30" t="str">
        <f>A34&amp;D34</f>
        <v>Lilies221</v>
      </c>
      <c r="F34" s="29" t="str">
        <f>VLOOKUP($D34,Lists!$J$1:$AB$29,2,FALSE)</f>
        <v>Rr-Yy-ss</v>
      </c>
      <c r="G34" t="s">
        <v>97</v>
      </c>
      <c r="H34" s="29" t="str">
        <f>VLOOKUP($D34,Lists!$J$1:$AB$29,3,FALSE)</f>
        <v>RY</v>
      </c>
      <c r="I34" s="29">
        <f>VLOOKUP($D34,Lists!$J$1:$AB$29,4,FALSE)</f>
        <v>4</v>
      </c>
      <c r="J34" s="29" t="str">
        <f>VLOOKUP($D34,Lists!$J$1:$AB$29,5,FALSE)</f>
        <v>RYs</v>
      </c>
      <c r="K34" s="29">
        <f>VLOOKUP($D34,Lists!$J$1:$AB$29,6,FALSE)</f>
        <v>221</v>
      </c>
      <c r="L34" s="29" t="str">
        <f>VLOOKUP($D34,Lists!$J$1:$AB$29,7,FALSE)</f>
        <v>Rys</v>
      </c>
      <c r="M34" s="29">
        <f>VLOOKUP($D34,Lists!$J$1:$AB$29,8,FALSE)</f>
        <v>211</v>
      </c>
      <c r="N34" s="29" t="str">
        <f>VLOOKUP($D34,Lists!$J$1:$AB$29,9,FALSE)</f>
        <v>rYs</v>
      </c>
      <c r="O34" s="29">
        <f>VLOOKUP($D34,Lists!$J$1:$AB$29,10,FALSE)</f>
        <v>121</v>
      </c>
      <c r="P34" s="29" t="str">
        <f>VLOOKUP($D34,Lists!$J$1:$AB$29,11,FALSE)</f>
        <v>rys</v>
      </c>
      <c r="Q34" s="29">
        <f>VLOOKUP($D34,Lists!$J$1:$AB$29,12,FALSE)</f>
        <v>111</v>
      </c>
      <c r="R34" s="29" t="str">
        <f>VLOOKUP($D34,Lists!$J$1:$AB$29,13,FALSE)</f>
        <v>-</v>
      </c>
      <c r="S34" s="29" t="str">
        <f>VLOOKUP($D34,Lists!$J$1:$AB$29,14,FALSE)</f>
        <v>-</v>
      </c>
      <c r="T34" s="29" t="str">
        <f>VLOOKUP($D34,Lists!$J$1:$AB$29,15,FALSE)</f>
        <v>-</v>
      </c>
      <c r="U34" s="29" t="str">
        <f>VLOOKUP($D34,Lists!$J$1:$AB$29,16,FALSE)</f>
        <v>-</v>
      </c>
      <c r="V34" s="29" t="str">
        <f>VLOOKUP($D34,Lists!$J$1:$AB$29,17,FALSE)</f>
        <v>-</v>
      </c>
      <c r="W34" s="29" t="str">
        <f>VLOOKUP($D34,Lists!$J$1:$AB$29,18,FALSE)</f>
        <v>-</v>
      </c>
      <c r="X34" s="29" t="str">
        <f>VLOOKUP($D34,Lists!$J$1:$AB$29,19,FALSE)</f>
        <v>-</v>
      </c>
      <c r="Y34" s="29" t="str">
        <f>VLOOKUP($D34,Lists!$J$1:$AC$29,20,FALSE)</f>
        <v>-</v>
      </c>
      <c r="Z34" s="32" t="str">
        <f t="shared" si="0"/>
        <v>1</v>
      </c>
    </row>
    <row r="35" spans="1:26" x14ac:dyDescent="0.25">
      <c r="A35" t="s">
        <v>78</v>
      </c>
      <c r="B35" t="s">
        <v>19</v>
      </c>
      <c r="C35" s="16" t="str">
        <f>A35&amp;B35</f>
        <v>LiliesOrange 2</v>
      </c>
      <c r="D35" s="8">
        <v>231</v>
      </c>
      <c r="E35" s="30" t="str">
        <f>A35&amp;D35</f>
        <v>Lilies231</v>
      </c>
      <c r="F35" s="29" t="str">
        <f>VLOOKUP($D35,Lists!$J$1:$AB$29,2,FALSE)</f>
        <v>Rr-YY-ss</v>
      </c>
      <c r="G35" t="s">
        <v>97</v>
      </c>
      <c r="H35" s="29" t="str">
        <f>VLOOKUP($D35,Lists!$J$1:$AB$29,3,FALSE)</f>
        <v>R</v>
      </c>
      <c r="I35" s="29">
        <f>VLOOKUP($D35,Lists!$J$1:$AB$29,4,FALSE)</f>
        <v>2</v>
      </c>
      <c r="J35" s="29" t="str">
        <f>VLOOKUP($D35,Lists!$J$1:$AB$29,5,FALSE)</f>
        <v>Rys</v>
      </c>
      <c r="K35" s="29">
        <f>VLOOKUP($D35,Lists!$J$1:$AB$29,6,FALSE)</f>
        <v>211</v>
      </c>
      <c r="L35" s="29" t="str">
        <f>VLOOKUP($D35,Lists!$J$1:$AB$29,7,FALSE)</f>
        <v>rYs</v>
      </c>
      <c r="M35" s="29">
        <f>VLOOKUP($D35,Lists!$J$1:$AB$29,8,FALSE)</f>
        <v>121</v>
      </c>
      <c r="N35" s="29" t="str">
        <f>VLOOKUP($D35,Lists!$J$1:$AB$29,9,FALSE)</f>
        <v>-</v>
      </c>
      <c r="O35" s="29" t="str">
        <f>VLOOKUP($D35,Lists!$J$1:$AB$29,10,FALSE)</f>
        <v>-</v>
      </c>
      <c r="P35" s="29" t="str">
        <f>VLOOKUP($D35,Lists!$J$1:$AB$29,11,FALSE)</f>
        <v>-</v>
      </c>
      <c r="Q35" s="29" t="str">
        <f>VLOOKUP($D35,Lists!$J$1:$AB$29,12,FALSE)</f>
        <v>-</v>
      </c>
      <c r="R35" s="29" t="str">
        <f>VLOOKUP($D35,Lists!$J$1:$AB$29,13,FALSE)</f>
        <v>-</v>
      </c>
      <c r="S35" s="29" t="str">
        <f>VLOOKUP($D35,Lists!$J$1:$AB$29,14,FALSE)</f>
        <v>-</v>
      </c>
      <c r="T35" s="29" t="str">
        <f>VLOOKUP($D35,Lists!$J$1:$AB$29,15,FALSE)</f>
        <v>-</v>
      </c>
      <c r="U35" s="29" t="str">
        <f>VLOOKUP($D35,Lists!$J$1:$AB$29,16,FALSE)</f>
        <v>-</v>
      </c>
      <c r="V35" s="29" t="str">
        <f>VLOOKUP($D35,Lists!$J$1:$AB$29,17,FALSE)</f>
        <v>-</v>
      </c>
      <c r="W35" s="29" t="str">
        <f>VLOOKUP($D35,Lists!$J$1:$AB$29,18,FALSE)</f>
        <v>-</v>
      </c>
      <c r="X35" s="29" t="str">
        <f>VLOOKUP($D35,Lists!$J$1:$AB$29,19,FALSE)</f>
        <v>-</v>
      </c>
      <c r="Y35" s="29" t="str">
        <f>VLOOKUP($D35,Lists!$J$1:$AC$29,20,FALSE)</f>
        <v>-</v>
      </c>
      <c r="Z35" s="32" t="str">
        <f t="shared" si="0"/>
        <v>2</v>
      </c>
    </row>
    <row r="36" spans="1:26" x14ac:dyDescent="0.25">
      <c r="A36" t="s">
        <v>78</v>
      </c>
      <c r="B36" t="s">
        <v>63</v>
      </c>
      <c r="C36" s="16" t="str">
        <f>A36&amp;B36</f>
        <v>LiliesOrange 3</v>
      </c>
      <c r="D36" s="8">
        <v>331</v>
      </c>
      <c r="E36" s="30" t="str">
        <f>A36&amp;D36</f>
        <v>Lilies331</v>
      </c>
      <c r="F36" s="29" t="str">
        <f>VLOOKUP($D36,Lists!$J$1:$AB$29,2,FALSE)</f>
        <v>RR-YY-ss</v>
      </c>
      <c r="G36" t="s">
        <v>97</v>
      </c>
      <c r="H36" s="29" t="str">
        <f>VLOOKUP($D36,Lists!$J$1:$AB$29,3,FALSE)</f>
        <v>-</v>
      </c>
      <c r="I36" s="29">
        <f>VLOOKUP($D36,Lists!$J$1:$AB$29,4,FALSE)</f>
        <v>1</v>
      </c>
      <c r="J36" s="29" t="str">
        <f>VLOOKUP($D36,Lists!$J$1:$AB$29,5,FALSE)</f>
        <v>RYs</v>
      </c>
      <c r="K36" s="29">
        <f>VLOOKUP($D36,Lists!$J$1:$AB$29,6,FALSE)</f>
        <v>221</v>
      </c>
      <c r="L36" s="29" t="str">
        <f>VLOOKUP($D36,Lists!$J$1:$AB$29,7,FALSE)</f>
        <v>-</v>
      </c>
      <c r="M36" s="29" t="str">
        <f>VLOOKUP($D36,Lists!$J$1:$AB$29,8,FALSE)</f>
        <v>-</v>
      </c>
      <c r="N36" s="29" t="str">
        <f>VLOOKUP($D36,Lists!$J$1:$AB$29,9,FALSE)</f>
        <v>-</v>
      </c>
      <c r="O36" s="29" t="str">
        <f>VLOOKUP($D36,Lists!$J$1:$AB$29,10,FALSE)</f>
        <v>-</v>
      </c>
      <c r="P36" s="29" t="str">
        <f>VLOOKUP($D36,Lists!$J$1:$AB$29,11,FALSE)</f>
        <v>-</v>
      </c>
      <c r="Q36" s="29" t="str">
        <f>VLOOKUP($D36,Lists!$J$1:$AB$29,12,FALSE)</f>
        <v>-</v>
      </c>
      <c r="R36" s="29" t="str">
        <f>VLOOKUP($D36,Lists!$J$1:$AB$29,13,FALSE)</f>
        <v>-</v>
      </c>
      <c r="S36" s="29" t="str">
        <f>VLOOKUP($D36,Lists!$J$1:$AB$29,14,FALSE)</f>
        <v>-</v>
      </c>
      <c r="T36" s="29" t="str">
        <f>VLOOKUP($D36,Lists!$J$1:$AB$29,15,FALSE)</f>
        <v>-</v>
      </c>
      <c r="U36" s="29" t="str">
        <f>VLOOKUP($D36,Lists!$J$1:$AB$29,16,FALSE)</f>
        <v>-</v>
      </c>
      <c r="V36" s="29" t="str">
        <f>VLOOKUP($D36,Lists!$J$1:$AB$29,17,FALSE)</f>
        <v>-</v>
      </c>
      <c r="W36" s="29" t="str">
        <f>VLOOKUP($D36,Lists!$J$1:$AB$29,18,FALSE)</f>
        <v>-</v>
      </c>
      <c r="X36" s="29" t="str">
        <f>VLOOKUP($D36,Lists!$J$1:$AB$29,19,FALSE)</f>
        <v>-</v>
      </c>
      <c r="Y36" s="29" t="str">
        <f>VLOOKUP($D36,Lists!$J$1:$AC$29,20,FALSE)</f>
        <v>-</v>
      </c>
      <c r="Z36" s="32" t="str">
        <f t="shared" si="0"/>
        <v>3</v>
      </c>
    </row>
    <row r="37" spans="1:26" x14ac:dyDescent="0.25">
      <c r="A37" t="s">
        <v>78</v>
      </c>
      <c r="B37" t="s">
        <v>62</v>
      </c>
      <c r="C37" s="16" t="str">
        <f>A37&amp;B37</f>
        <v>LiliesOrange 4</v>
      </c>
      <c r="D37" s="8">
        <v>332</v>
      </c>
      <c r="E37" s="30" t="str">
        <f>A37&amp;D37</f>
        <v>Lilies332</v>
      </c>
      <c r="F37" s="29" t="str">
        <f>VLOOKUP($D37,Lists!$J$1:$AB$29,2,FALSE)</f>
        <v>RR-YY-Ss</v>
      </c>
      <c r="G37" t="s">
        <v>97</v>
      </c>
      <c r="H37" s="29" t="str">
        <f>VLOOKUP($D37,Lists!$J$1:$AB$29,3,FALSE)</f>
        <v>S</v>
      </c>
      <c r="I37" s="29">
        <f>VLOOKUP($D37,Lists!$J$1:$AB$29,4,FALSE)</f>
        <v>2</v>
      </c>
      <c r="J37" s="29" t="str">
        <f>VLOOKUP($D37,Lists!$J$1:$AB$29,5,FALSE)</f>
        <v>RYS</v>
      </c>
      <c r="K37" s="29">
        <f>VLOOKUP($D37,Lists!$J$1:$AB$29,6,FALSE)</f>
        <v>222</v>
      </c>
      <c r="L37" s="29" t="str">
        <f>VLOOKUP($D37,Lists!$J$1:$AB$29,7,FALSE)</f>
        <v>Rys</v>
      </c>
      <c r="M37" s="29">
        <f>VLOOKUP($D37,Lists!$J$1:$AB$29,8,FALSE)</f>
        <v>211</v>
      </c>
      <c r="N37" s="29" t="str">
        <f>VLOOKUP($D37,Lists!$J$1:$AB$29,9,FALSE)</f>
        <v>-</v>
      </c>
      <c r="O37" s="29" t="str">
        <f>VLOOKUP($D37,Lists!$J$1:$AB$29,10,FALSE)</f>
        <v>-</v>
      </c>
      <c r="P37" s="29" t="str">
        <f>VLOOKUP($D37,Lists!$J$1:$AB$29,11,FALSE)</f>
        <v>-</v>
      </c>
      <c r="Q37" s="29" t="str">
        <f>VLOOKUP($D37,Lists!$J$1:$AB$29,12,FALSE)</f>
        <v>-</v>
      </c>
      <c r="R37" s="29" t="str">
        <f>VLOOKUP($D37,Lists!$J$1:$AB$29,13,FALSE)</f>
        <v>-</v>
      </c>
      <c r="S37" s="29" t="str">
        <f>VLOOKUP($D37,Lists!$J$1:$AB$29,14,FALSE)</f>
        <v>-</v>
      </c>
      <c r="T37" s="29" t="str">
        <f>VLOOKUP($D37,Lists!$J$1:$AB$29,15,FALSE)</f>
        <v>-</v>
      </c>
      <c r="U37" s="29" t="str">
        <f>VLOOKUP($D37,Lists!$J$1:$AB$29,16,FALSE)</f>
        <v>-</v>
      </c>
      <c r="V37" s="29" t="str">
        <f>VLOOKUP($D37,Lists!$J$1:$AB$29,17,FALSE)</f>
        <v>-</v>
      </c>
      <c r="W37" s="29" t="str">
        <f>VLOOKUP($D37,Lists!$J$1:$AB$29,18,FALSE)</f>
        <v>-</v>
      </c>
      <c r="X37" s="29" t="str">
        <f>VLOOKUP($D37,Lists!$J$1:$AB$29,19,FALSE)</f>
        <v>-</v>
      </c>
      <c r="Y37" s="29" t="str">
        <f>VLOOKUP($D37,Lists!$J$1:$AC$29,20,FALSE)</f>
        <v>-</v>
      </c>
      <c r="Z37" s="32" t="str">
        <f t="shared" si="0"/>
        <v>4</v>
      </c>
    </row>
    <row r="38" spans="1:26" x14ac:dyDescent="0.25">
      <c r="A38" t="s">
        <v>78</v>
      </c>
      <c r="B38" t="s">
        <v>16</v>
      </c>
      <c r="C38" s="16" t="str">
        <f>A38&amp;B38</f>
        <v>LiliesPink 1</v>
      </c>
      <c r="D38" s="8">
        <v>212</v>
      </c>
      <c r="E38" s="30" t="str">
        <f>A38&amp;D38</f>
        <v>Lilies212</v>
      </c>
      <c r="F38" s="29" t="str">
        <f>VLOOKUP($D38,Lists!$J$1:$AB$29,2,FALSE)</f>
        <v>Rr-yy-Ss</v>
      </c>
      <c r="G38" t="s">
        <v>98</v>
      </c>
      <c r="H38" s="29" t="str">
        <f>VLOOKUP($D38,Lists!$J$1:$AB$29,3,FALSE)</f>
        <v>RS</v>
      </c>
      <c r="I38" s="29">
        <f>VLOOKUP($D38,Lists!$J$1:$AB$29,4,FALSE)</f>
        <v>4</v>
      </c>
      <c r="J38" s="29" t="str">
        <f>VLOOKUP($D38,Lists!$J$1:$AB$29,5,FALSE)</f>
        <v>RyS</v>
      </c>
      <c r="K38" s="29">
        <f>VLOOKUP($D38,Lists!$J$1:$AB$29,6,FALSE)</f>
        <v>212</v>
      </c>
      <c r="L38" s="29" t="str">
        <f>VLOOKUP($D38,Lists!$J$1:$AB$29,7,FALSE)</f>
        <v>Rys</v>
      </c>
      <c r="M38" s="29">
        <f>VLOOKUP($D38,Lists!$J$1:$AB$29,8,FALSE)</f>
        <v>211</v>
      </c>
      <c r="N38" s="29" t="str">
        <f>VLOOKUP($D38,Lists!$J$1:$AB$29,9,FALSE)</f>
        <v>ryS</v>
      </c>
      <c r="O38" s="29">
        <f>VLOOKUP($D38,Lists!$J$1:$AB$29,10,FALSE)</f>
        <v>112</v>
      </c>
      <c r="P38" s="29" t="str">
        <f>VLOOKUP($D38,Lists!$J$1:$AB$29,11,FALSE)</f>
        <v>rys</v>
      </c>
      <c r="Q38" s="29">
        <f>VLOOKUP($D38,Lists!$J$1:$AB$29,12,FALSE)</f>
        <v>111</v>
      </c>
      <c r="R38" s="29" t="str">
        <f>VLOOKUP($D38,Lists!$J$1:$AB$29,13,FALSE)</f>
        <v>-</v>
      </c>
      <c r="S38" s="29" t="str">
        <f>VLOOKUP($D38,Lists!$J$1:$AB$29,14,FALSE)</f>
        <v>-</v>
      </c>
      <c r="T38" s="29" t="str">
        <f>VLOOKUP($D38,Lists!$J$1:$AB$29,15,FALSE)</f>
        <v>-</v>
      </c>
      <c r="U38" s="29" t="str">
        <f>VLOOKUP($D38,Lists!$J$1:$AB$29,16,FALSE)</f>
        <v>-</v>
      </c>
      <c r="V38" s="29" t="str">
        <f>VLOOKUP($D38,Lists!$J$1:$AB$29,17,FALSE)</f>
        <v>-</v>
      </c>
      <c r="W38" s="29" t="str">
        <f>VLOOKUP($D38,Lists!$J$1:$AB$29,18,FALSE)</f>
        <v>-</v>
      </c>
      <c r="X38" s="29" t="str">
        <f>VLOOKUP($D38,Lists!$J$1:$AB$29,19,FALSE)</f>
        <v>-</v>
      </c>
      <c r="Y38" s="29" t="str">
        <f>VLOOKUP($D38,Lists!$J$1:$AC$29,20,FALSE)</f>
        <v>-</v>
      </c>
      <c r="Z38" s="32" t="str">
        <f t="shared" si="0"/>
        <v>1</v>
      </c>
    </row>
    <row r="39" spans="1:26" x14ac:dyDescent="0.25">
      <c r="A39" t="s">
        <v>78</v>
      </c>
      <c r="B39" t="s">
        <v>17</v>
      </c>
      <c r="C39" s="16" t="str">
        <f>A39&amp;B39</f>
        <v>LiliesPink 2</v>
      </c>
      <c r="D39" s="8">
        <v>313</v>
      </c>
      <c r="E39" s="30" t="str">
        <f>A39&amp;D39</f>
        <v>Lilies313</v>
      </c>
      <c r="F39" s="29" t="str">
        <f>VLOOKUP($D39,Lists!$J$1:$AB$29,2,FALSE)</f>
        <v>RR-yy-SS</v>
      </c>
      <c r="G39" t="s">
        <v>98</v>
      </c>
      <c r="H39" s="29" t="str">
        <f>VLOOKUP($D39,Lists!$J$1:$AB$29,3,FALSE)</f>
        <v>-</v>
      </c>
      <c r="I39" s="29">
        <f>VLOOKUP($D39,Lists!$J$1:$AB$29,4,FALSE)</f>
        <v>1</v>
      </c>
      <c r="J39" s="29" t="str">
        <f>VLOOKUP($D39,Lists!$J$1:$AB$29,5,FALSE)</f>
        <v>RyS</v>
      </c>
      <c r="K39" s="29">
        <f>VLOOKUP($D39,Lists!$J$1:$AB$29,6,FALSE)</f>
        <v>212</v>
      </c>
      <c r="L39" s="29" t="str">
        <f>VLOOKUP($D39,Lists!$J$1:$AB$29,7,FALSE)</f>
        <v>-</v>
      </c>
      <c r="M39" s="29" t="str">
        <f>VLOOKUP($D39,Lists!$J$1:$AB$29,8,FALSE)</f>
        <v>-</v>
      </c>
      <c r="N39" s="29" t="str">
        <f>VLOOKUP($D39,Lists!$J$1:$AB$29,9,FALSE)</f>
        <v>-</v>
      </c>
      <c r="O39" s="29" t="str">
        <f>VLOOKUP($D39,Lists!$J$1:$AB$29,10,FALSE)</f>
        <v>-</v>
      </c>
      <c r="P39" s="29" t="str">
        <f>VLOOKUP($D39,Lists!$J$1:$AB$29,11,FALSE)</f>
        <v>-</v>
      </c>
      <c r="Q39" s="29" t="str">
        <f>VLOOKUP($D39,Lists!$J$1:$AB$29,12,FALSE)</f>
        <v>-</v>
      </c>
      <c r="R39" s="29" t="str">
        <f>VLOOKUP($D39,Lists!$J$1:$AB$29,13,FALSE)</f>
        <v>-</v>
      </c>
      <c r="S39" s="29" t="str">
        <f>VLOOKUP($D39,Lists!$J$1:$AB$29,14,FALSE)</f>
        <v>-</v>
      </c>
      <c r="T39" s="29" t="str">
        <f>VLOOKUP($D39,Lists!$J$1:$AB$29,15,FALSE)</f>
        <v>-</v>
      </c>
      <c r="U39" s="29" t="str">
        <f>VLOOKUP($D39,Lists!$J$1:$AB$29,16,FALSE)</f>
        <v>-</v>
      </c>
      <c r="V39" s="29" t="str">
        <f>VLOOKUP($D39,Lists!$J$1:$AB$29,17,FALSE)</f>
        <v>-</v>
      </c>
      <c r="W39" s="29" t="str">
        <f>VLOOKUP($D39,Lists!$J$1:$AB$29,18,FALSE)</f>
        <v>-</v>
      </c>
      <c r="X39" s="29" t="str">
        <f>VLOOKUP($D39,Lists!$J$1:$AB$29,19,FALSE)</f>
        <v>-</v>
      </c>
      <c r="Y39" s="29" t="str">
        <f>VLOOKUP($D39,Lists!$J$1:$AC$29,20,FALSE)</f>
        <v>-</v>
      </c>
      <c r="Z39" s="32" t="str">
        <f t="shared" si="0"/>
        <v>2</v>
      </c>
    </row>
    <row r="40" spans="1:26" x14ac:dyDescent="0.25">
      <c r="A40" t="s">
        <v>78</v>
      </c>
      <c r="B40" t="s">
        <v>55</v>
      </c>
      <c r="C40" s="16" t="str">
        <f>A40&amp;B40</f>
        <v>LiliesPink 3</v>
      </c>
      <c r="D40" s="8">
        <v>321</v>
      </c>
      <c r="E40" s="30" t="str">
        <f>A40&amp;D40</f>
        <v>Lilies321</v>
      </c>
      <c r="F40" s="29" t="str">
        <f>VLOOKUP($D40,Lists!$J$1:$AB$29,2,FALSE)</f>
        <v>RR-Yy-ss</v>
      </c>
      <c r="G40" t="s">
        <v>98</v>
      </c>
      <c r="H40" s="29" t="str">
        <f>VLOOKUP($D40,Lists!$J$1:$AB$29,3,FALSE)</f>
        <v>Y</v>
      </c>
      <c r="I40" s="29">
        <f>VLOOKUP($D40,Lists!$J$1:$AB$29,4,FALSE)</f>
        <v>2</v>
      </c>
      <c r="J40" s="29" t="str">
        <f>VLOOKUP($D40,Lists!$J$1:$AB$29,5,FALSE)</f>
        <v>RYs</v>
      </c>
      <c r="K40" s="29">
        <f>VLOOKUP($D40,Lists!$J$1:$AB$29,6,FALSE)</f>
        <v>221</v>
      </c>
      <c r="L40" s="29" t="str">
        <f>VLOOKUP($D40,Lists!$J$1:$AB$29,7,FALSE)</f>
        <v>Rys</v>
      </c>
      <c r="M40" s="29">
        <f>VLOOKUP($D40,Lists!$J$1:$AB$29,8,FALSE)</f>
        <v>211</v>
      </c>
      <c r="N40" s="29" t="str">
        <f>VLOOKUP($D40,Lists!$J$1:$AB$29,9,FALSE)</f>
        <v>-</v>
      </c>
      <c r="O40" s="29" t="str">
        <f>VLOOKUP($D40,Lists!$J$1:$AB$29,10,FALSE)</f>
        <v>-</v>
      </c>
      <c r="P40" s="29" t="str">
        <f>VLOOKUP($D40,Lists!$J$1:$AB$29,11,FALSE)</f>
        <v>-</v>
      </c>
      <c r="Q40" s="29" t="str">
        <f>VLOOKUP($D40,Lists!$J$1:$AB$29,12,FALSE)</f>
        <v>-</v>
      </c>
      <c r="R40" s="29" t="str">
        <f>VLOOKUP($D40,Lists!$J$1:$AB$29,13,FALSE)</f>
        <v>-</v>
      </c>
      <c r="S40" s="29" t="str">
        <f>VLOOKUP($D40,Lists!$J$1:$AB$29,14,FALSE)</f>
        <v>-</v>
      </c>
      <c r="T40" s="29" t="str">
        <f>VLOOKUP($D40,Lists!$J$1:$AB$29,15,FALSE)</f>
        <v>-</v>
      </c>
      <c r="U40" s="29" t="str">
        <f>VLOOKUP($D40,Lists!$J$1:$AB$29,16,FALSE)</f>
        <v>-</v>
      </c>
      <c r="V40" s="29" t="str">
        <f>VLOOKUP($D40,Lists!$J$1:$AB$29,17,FALSE)</f>
        <v>-</v>
      </c>
      <c r="W40" s="29" t="str">
        <f>VLOOKUP($D40,Lists!$J$1:$AB$29,18,FALSE)</f>
        <v>-</v>
      </c>
      <c r="X40" s="29" t="str">
        <f>VLOOKUP($D40,Lists!$J$1:$AB$29,19,FALSE)</f>
        <v>-</v>
      </c>
      <c r="Y40" s="29" t="str">
        <f>VLOOKUP($D40,Lists!$J$1:$AC$29,20,FALSE)</f>
        <v>-</v>
      </c>
      <c r="Z40" s="32" t="str">
        <f t="shared" si="0"/>
        <v>3</v>
      </c>
    </row>
    <row r="41" spans="1:26" x14ac:dyDescent="0.25">
      <c r="A41" t="s">
        <v>78</v>
      </c>
      <c r="B41" t="s">
        <v>87</v>
      </c>
      <c r="C41" s="16" t="str">
        <f>A41&amp;B41</f>
        <v>LiliesRed 2</v>
      </c>
      <c r="D41" s="8">
        <v>211</v>
      </c>
      <c r="E41" s="30" t="str">
        <f>A41&amp;D41</f>
        <v>Lilies211</v>
      </c>
      <c r="F41" s="29" t="str">
        <f>VLOOKUP($D41,Lists!$J$1:$AB$29,2,FALSE)</f>
        <v>Rr-yy-ss</v>
      </c>
      <c r="G41" t="s">
        <v>94</v>
      </c>
      <c r="H41" s="29" t="str">
        <f>VLOOKUP($D41,Lists!$J$1:$AB$29,3,FALSE)</f>
        <v>R</v>
      </c>
      <c r="I41" s="29">
        <f>VLOOKUP($D41,Lists!$J$1:$AB$29,4,FALSE)</f>
        <v>2</v>
      </c>
      <c r="J41" s="29" t="str">
        <f>VLOOKUP($D41,Lists!$J$1:$AB$29,5,FALSE)</f>
        <v>Rys</v>
      </c>
      <c r="K41" s="29">
        <f>VLOOKUP($D41,Lists!$J$1:$AB$29,6,FALSE)</f>
        <v>211</v>
      </c>
      <c r="L41" s="29" t="str">
        <f>VLOOKUP($D41,Lists!$J$1:$AB$29,7,FALSE)</f>
        <v xml:space="preserve">rys </v>
      </c>
      <c r="M41" s="29">
        <f>VLOOKUP($D41,Lists!$J$1:$AB$29,8,FALSE)</f>
        <v>111</v>
      </c>
      <c r="N41" s="29" t="str">
        <f>VLOOKUP($D41,Lists!$J$1:$AB$29,9,FALSE)</f>
        <v>-</v>
      </c>
      <c r="O41" s="29" t="str">
        <f>VLOOKUP($D41,Lists!$J$1:$AB$29,10,FALSE)</f>
        <v>-</v>
      </c>
      <c r="P41" s="29" t="str">
        <f>VLOOKUP($D41,Lists!$J$1:$AB$29,11,FALSE)</f>
        <v>-</v>
      </c>
      <c r="Q41" s="29" t="str">
        <f>VLOOKUP($D41,Lists!$J$1:$AB$29,12,FALSE)</f>
        <v>-</v>
      </c>
      <c r="R41" s="29" t="str">
        <f>VLOOKUP($D41,Lists!$J$1:$AB$29,13,FALSE)</f>
        <v>-</v>
      </c>
      <c r="S41" s="29" t="str">
        <f>VLOOKUP($D41,Lists!$J$1:$AB$29,14,FALSE)</f>
        <v>-</v>
      </c>
      <c r="T41" s="29" t="str">
        <f>VLOOKUP($D41,Lists!$J$1:$AB$29,15,FALSE)</f>
        <v>-</v>
      </c>
      <c r="U41" s="29" t="str">
        <f>VLOOKUP($D41,Lists!$J$1:$AB$29,16,FALSE)</f>
        <v>-</v>
      </c>
      <c r="V41" s="29" t="str">
        <f>VLOOKUP($D41,Lists!$J$1:$AB$29,17,FALSE)</f>
        <v>-</v>
      </c>
      <c r="W41" s="29" t="str">
        <f>VLOOKUP($D41,Lists!$J$1:$AB$29,18,FALSE)</f>
        <v>-</v>
      </c>
      <c r="X41" s="29" t="str">
        <f>VLOOKUP($D41,Lists!$J$1:$AB$29,19,FALSE)</f>
        <v>-</v>
      </c>
      <c r="Y41" s="29" t="str">
        <f>VLOOKUP($D41,Lists!$J$1:$AC$29,20,FALSE)</f>
        <v>-</v>
      </c>
      <c r="Z41" s="32" t="str">
        <f t="shared" si="0"/>
        <v>2</v>
      </c>
    </row>
    <row r="42" spans="1:26" x14ac:dyDescent="0.25">
      <c r="A42" t="s">
        <v>78</v>
      </c>
      <c r="B42" t="s">
        <v>58</v>
      </c>
      <c r="C42" s="16" t="str">
        <f>A42&amp;B42</f>
        <v>LiliesRed 3</v>
      </c>
      <c r="D42" s="8">
        <v>322</v>
      </c>
      <c r="E42" s="30" t="str">
        <f>A42&amp;D42</f>
        <v>Lilies322</v>
      </c>
      <c r="F42" s="29" t="str">
        <f>VLOOKUP($D42,Lists!$J$1:$AB$29,2,FALSE)</f>
        <v>RR-Yy-Ss</v>
      </c>
      <c r="G42" t="s">
        <v>94</v>
      </c>
      <c r="H42" s="29" t="str">
        <f>VLOOKUP($D42,Lists!$J$1:$AB$29,3,FALSE)</f>
        <v>YS</v>
      </c>
      <c r="I42" s="29">
        <f>VLOOKUP($D42,Lists!$J$1:$AB$29,4,FALSE)</f>
        <v>4</v>
      </c>
      <c r="J42" s="29" t="str">
        <f>VLOOKUP($D42,Lists!$J$1:$AB$29,5,FALSE)</f>
        <v>RYS</v>
      </c>
      <c r="K42" s="29">
        <f>VLOOKUP($D42,Lists!$J$1:$AB$29,6,FALSE)</f>
        <v>222</v>
      </c>
      <c r="L42" s="29" t="str">
        <f>VLOOKUP($D42,Lists!$J$1:$AB$29,7,FALSE)</f>
        <v>RyS</v>
      </c>
      <c r="M42" s="29">
        <f>VLOOKUP($D42,Lists!$J$1:$AB$29,8,FALSE)</f>
        <v>212</v>
      </c>
      <c r="N42" s="29" t="str">
        <f>VLOOKUP($D42,Lists!$J$1:$AB$29,9,FALSE)</f>
        <v>RYs</v>
      </c>
      <c r="O42" s="29">
        <f>VLOOKUP($D42,Lists!$J$1:$AB$29,10,FALSE)</f>
        <v>221</v>
      </c>
      <c r="P42" s="29" t="str">
        <f>VLOOKUP($D42,Lists!$J$1:$AB$29,11,FALSE)</f>
        <v>Rys</v>
      </c>
      <c r="Q42" s="29">
        <f>VLOOKUP($D42,Lists!$J$1:$AB$29,12,FALSE)</f>
        <v>211</v>
      </c>
      <c r="R42" s="29" t="str">
        <f>VLOOKUP($D42,Lists!$J$1:$AB$29,13,FALSE)</f>
        <v>-</v>
      </c>
      <c r="S42" s="29" t="str">
        <f>VLOOKUP($D42,Lists!$J$1:$AB$29,14,FALSE)</f>
        <v>-</v>
      </c>
      <c r="T42" s="29" t="str">
        <f>VLOOKUP($D42,Lists!$J$1:$AB$29,15,FALSE)</f>
        <v>-</v>
      </c>
      <c r="U42" s="29" t="str">
        <f>VLOOKUP($D42,Lists!$J$1:$AB$29,16,FALSE)</f>
        <v>-</v>
      </c>
      <c r="V42" s="29" t="str">
        <f>VLOOKUP($D42,Lists!$J$1:$AB$29,17,FALSE)</f>
        <v>-</v>
      </c>
      <c r="W42" s="29" t="str">
        <f>VLOOKUP($D42,Lists!$J$1:$AB$29,18,FALSE)</f>
        <v>-</v>
      </c>
      <c r="X42" s="29" t="str">
        <f>VLOOKUP($D42,Lists!$J$1:$AB$29,19,FALSE)</f>
        <v>-</v>
      </c>
      <c r="Y42" s="29" t="str">
        <f>VLOOKUP($D42,Lists!$J$1:$AC$29,20,FALSE)</f>
        <v>-</v>
      </c>
      <c r="Z42" s="32" t="str">
        <f t="shared" si="0"/>
        <v>3</v>
      </c>
    </row>
    <row r="43" spans="1:26" x14ac:dyDescent="0.25">
      <c r="A43" t="s">
        <v>78</v>
      </c>
      <c r="B43" t="s">
        <v>40</v>
      </c>
      <c r="C43" s="16" t="str">
        <f>A43&amp;B43</f>
        <v>LiliesWhite 2</v>
      </c>
      <c r="D43" s="8">
        <f>111</f>
        <v>111</v>
      </c>
      <c r="E43" s="30" t="str">
        <f>A43&amp;D43</f>
        <v>Lilies111</v>
      </c>
      <c r="F43" s="29" t="str">
        <f>VLOOKUP($D43,Lists!$J$1:$AB$29,2,FALSE)</f>
        <v>rr-yy-ss</v>
      </c>
      <c r="G43" t="s">
        <v>96</v>
      </c>
      <c r="H43" s="29" t="str">
        <f>VLOOKUP($D43,Lists!$J$1:$AB$29,3,FALSE)</f>
        <v>-</v>
      </c>
      <c r="I43" s="29">
        <f>VLOOKUP($D43,Lists!$J$1:$AB$29,4,FALSE)</f>
        <v>1</v>
      </c>
      <c r="J43" s="29" t="str">
        <f>VLOOKUP($D43,Lists!$J$1:$AB$29,5,FALSE)</f>
        <v>rys</v>
      </c>
      <c r="K43" s="29">
        <f>VLOOKUP($D43,Lists!$J$1:$AB$29,6,FALSE)</f>
        <v>111</v>
      </c>
      <c r="L43" s="29" t="str">
        <f>VLOOKUP($D43,Lists!$J$1:$AB$29,7,FALSE)</f>
        <v>-</v>
      </c>
      <c r="M43" s="29" t="str">
        <f>VLOOKUP($D43,Lists!$J$1:$AB$29,8,FALSE)</f>
        <v>-</v>
      </c>
      <c r="N43" s="29" t="str">
        <f>VLOOKUP($D43,Lists!$J$1:$AB$29,9,FALSE)</f>
        <v>-</v>
      </c>
      <c r="O43" s="29" t="str">
        <f>VLOOKUP($D43,Lists!$J$1:$AB$29,10,FALSE)</f>
        <v>-</v>
      </c>
      <c r="P43" s="29" t="str">
        <f>VLOOKUP($D43,Lists!$J$1:$AB$29,11,FALSE)</f>
        <v>-</v>
      </c>
      <c r="Q43" s="29" t="str">
        <f>VLOOKUP($D43,Lists!$J$1:$AB$29,12,FALSE)</f>
        <v>-</v>
      </c>
      <c r="R43" s="29" t="str">
        <f>VLOOKUP($D43,Lists!$J$1:$AB$29,13,FALSE)</f>
        <v>-</v>
      </c>
      <c r="S43" s="29" t="str">
        <f>VLOOKUP($D43,Lists!$J$1:$AB$29,14,FALSE)</f>
        <v>-</v>
      </c>
      <c r="T43" s="29" t="str">
        <f>VLOOKUP($D43,Lists!$J$1:$AB$29,15,FALSE)</f>
        <v>-</v>
      </c>
      <c r="U43" s="29" t="str">
        <f>VLOOKUP($D43,Lists!$J$1:$AB$29,16,FALSE)</f>
        <v>-</v>
      </c>
      <c r="V43" s="29" t="str">
        <f>VLOOKUP($D43,Lists!$J$1:$AB$29,17,FALSE)</f>
        <v>-</v>
      </c>
      <c r="W43" s="29" t="str">
        <f>VLOOKUP($D43,Lists!$J$1:$AB$29,18,FALSE)</f>
        <v>-</v>
      </c>
      <c r="X43" s="29" t="str">
        <f>VLOOKUP($D43,Lists!$J$1:$AB$29,19,FALSE)</f>
        <v>-</v>
      </c>
      <c r="Y43" s="29" t="str">
        <f>VLOOKUP($D43,Lists!$J$1:$AC$29,20,FALSE)</f>
        <v>-</v>
      </c>
      <c r="Z43" s="32" t="str">
        <f t="shared" si="0"/>
        <v>2</v>
      </c>
    </row>
    <row r="44" spans="1:26" x14ac:dyDescent="0.25">
      <c r="A44" t="s">
        <v>78</v>
      </c>
      <c r="B44" t="s">
        <v>41</v>
      </c>
      <c r="C44" s="16" t="str">
        <f>A44&amp;B44</f>
        <v>LiliesWhite 3</v>
      </c>
      <c r="D44" s="8">
        <f>112</f>
        <v>112</v>
      </c>
      <c r="E44" s="30" t="str">
        <f>A44&amp;D44</f>
        <v>Lilies112</v>
      </c>
      <c r="F44" s="29" t="str">
        <f>VLOOKUP($D44,Lists!$J$1:$AB$29,2,FALSE)</f>
        <v>rr-yy-Ss</v>
      </c>
      <c r="G44" t="s">
        <v>96</v>
      </c>
      <c r="H44" s="29" t="str">
        <f>VLOOKUP($D44,Lists!$J$1:$AB$29,3,FALSE)</f>
        <v>S</v>
      </c>
      <c r="I44" s="29">
        <f>VLOOKUP($D44,Lists!$J$1:$AB$29,4,FALSE)</f>
        <v>2</v>
      </c>
      <c r="J44" s="29" t="str">
        <f>VLOOKUP($D44,Lists!$J$1:$AB$29,5,FALSE)</f>
        <v>rys</v>
      </c>
      <c r="K44" s="29">
        <f>VLOOKUP($D44,Lists!$J$1:$AB$29,6,FALSE)</f>
        <v>111</v>
      </c>
      <c r="L44" s="29" t="str">
        <f>VLOOKUP($D44,Lists!$J$1:$AB$29,7,FALSE)</f>
        <v>ryS</v>
      </c>
      <c r="M44" s="29">
        <f>VLOOKUP($D44,Lists!$J$1:$AB$29,8,FALSE)</f>
        <v>112</v>
      </c>
      <c r="N44" s="29" t="str">
        <f>VLOOKUP($D44,Lists!$J$1:$AB$29,9,FALSE)</f>
        <v>-</v>
      </c>
      <c r="O44" s="29" t="str">
        <f>VLOOKUP($D44,Lists!$J$1:$AB$29,10,FALSE)</f>
        <v>-</v>
      </c>
      <c r="P44" s="29" t="str">
        <f>VLOOKUP($D44,Lists!$J$1:$AB$29,11,FALSE)</f>
        <v>-</v>
      </c>
      <c r="Q44" s="29" t="str">
        <f>VLOOKUP($D44,Lists!$J$1:$AB$29,12,FALSE)</f>
        <v>-</v>
      </c>
      <c r="R44" s="29" t="str">
        <f>VLOOKUP($D44,Lists!$J$1:$AB$29,13,FALSE)</f>
        <v>-</v>
      </c>
      <c r="S44" s="29" t="str">
        <f>VLOOKUP($D44,Lists!$J$1:$AB$29,14,FALSE)</f>
        <v>-</v>
      </c>
      <c r="T44" s="29" t="str">
        <f>VLOOKUP($D44,Lists!$J$1:$AB$29,15,FALSE)</f>
        <v>-</v>
      </c>
      <c r="U44" s="29" t="str">
        <f>VLOOKUP($D44,Lists!$J$1:$AB$29,16,FALSE)</f>
        <v>-</v>
      </c>
      <c r="V44" s="29" t="str">
        <f>VLOOKUP($D44,Lists!$J$1:$AB$29,17,FALSE)</f>
        <v>-</v>
      </c>
      <c r="W44" s="29" t="str">
        <f>VLOOKUP($D44,Lists!$J$1:$AB$29,18,FALSE)</f>
        <v>-</v>
      </c>
      <c r="X44" s="29" t="str">
        <f>VLOOKUP($D44,Lists!$J$1:$AB$29,19,FALSE)</f>
        <v>-</v>
      </c>
      <c r="Y44" s="29" t="str">
        <f>VLOOKUP($D44,Lists!$J$1:$AC$29,20,FALSE)</f>
        <v>-</v>
      </c>
      <c r="Z44" s="32" t="str">
        <f t="shared" si="0"/>
        <v>3</v>
      </c>
    </row>
    <row r="45" spans="1:26" x14ac:dyDescent="0.25">
      <c r="A45" t="s">
        <v>78</v>
      </c>
      <c r="B45" t="s">
        <v>52</v>
      </c>
      <c r="C45" s="16" t="str">
        <f>A45&amp;B45</f>
        <v>LiliesWhite 4</v>
      </c>
      <c r="D45" s="8">
        <f>122</f>
        <v>122</v>
      </c>
      <c r="E45" s="30" t="str">
        <f>A45&amp;D45</f>
        <v>Lilies122</v>
      </c>
      <c r="F45" s="29" t="str">
        <f>VLOOKUP($D45,Lists!$J$1:$AB$29,2,FALSE)</f>
        <v>rr-Yy-Ss</v>
      </c>
      <c r="G45" t="s">
        <v>96</v>
      </c>
      <c r="H45" s="29" t="str">
        <f>VLOOKUP($D45,Lists!$J$1:$AB$29,3,FALSE)</f>
        <v>YS</v>
      </c>
      <c r="I45" s="29">
        <f>VLOOKUP($D45,Lists!$J$1:$AB$29,4,FALSE)</f>
        <v>4</v>
      </c>
      <c r="J45" s="29" t="str">
        <f>VLOOKUP($D45,Lists!$J$1:$AB$29,5,FALSE)</f>
        <v>rYS</v>
      </c>
      <c r="K45" s="29">
        <f>VLOOKUP($D45,Lists!$J$1:$AB$29,6,FALSE)</f>
        <v>122</v>
      </c>
      <c r="L45" s="29" t="str">
        <f>VLOOKUP($D45,Lists!$J$1:$AB$29,7,FALSE)</f>
        <v>ryS</v>
      </c>
      <c r="M45" s="29">
        <f>VLOOKUP($D45,Lists!$J$1:$AB$29,8,FALSE)</f>
        <v>112</v>
      </c>
      <c r="N45" s="29" t="str">
        <f>VLOOKUP($D45,Lists!$J$1:$AB$29,9,FALSE)</f>
        <v>rYs</v>
      </c>
      <c r="O45" s="29">
        <f>VLOOKUP($D45,Lists!$J$1:$AB$29,10,FALSE)</f>
        <v>121</v>
      </c>
      <c r="P45" s="29" t="str">
        <f>VLOOKUP($D45,Lists!$J$1:$AB$29,11,FALSE)</f>
        <v>rys</v>
      </c>
      <c r="Q45" s="29">
        <f>VLOOKUP($D45,Lists!$J$1:$AB$29,12,FALSE)</f>
        <v>111</v>
      </c>
      <c r="R45" s="29" t="str">
        <f>VLOOKUP($D45,Lists!$J$1:$AB$29,13,FALSE)</f>
        <v>-</v>
      </c>
      <c r="S45" s="29" t="str">
        <f>VLOOKUP($D45,Lists!$J$1:$AB$29,14,FALSE)</f>
        <v>-</v>
      </c>
      <c r="T45" s="29" t="str">
        <f>VLOOKUP($D45,Lists!$J$1:$AB$29,15,FALSE)</f>
        <v>-</v>
      </c>
      <c r="U45" s="29" t="str">
        <f>VLOOKUP($D45,Lists!$J$1:$AB$29,16,FALSE)</f>
        <v>-</v>
      </c>
      <c r="V45" s="29" t="str">
        <f>VLOOKUP($D45,Lists!$J$1:$AB$29,17,FALSE)</f>
        <v>-</v>
      </c>
      <c r="W45" s="29" t="str">
        <f>VLOOKUP($D45,Lists!$J$1:$AB$29,18,FALSE)</f>
        <v>-</v>
      </c>
      <c r="X45" s="29" t="str">
        <f>VLOOKUP($D45,Lists!$J$1:$AB$29,19,FALSE)</f>
        <v>-</v>
      </c>
      <c r="Y45" s="29" t="str">
        <f>VLOOKUP($D45,Lists!$J$1:$AC$29,20,FALSE)</f>
        <v>-</v>
      </c>
      <c r="Z45" s="32" t="str">
        <f t="shared" si="0"/>
        <v>4</v>
      </c>
    </row>
    <row r="46" spans="1:26" x14ac:dyDescent="0.25">
      <c r="A46" t="s">
        <v>78</v>
      </c>
      <c r="B46" t="s">
        <v>88</v>
      </c>
      <c r="C46" s="16" t="str">
        <f>A46&amp;B46</f>
        <v>LiliesWhite 5</v>
      </c>
      <c r="D46" s="8">
        <f>123</f>
        <v>123</v>
      </c>
      <c r="E46" s="30" t="str">
        <f>A46&amp;D46</f>
        <v>Lilies123</v>
      </c>
      <c r="F46" s="29" t="str">
        <f>VLOOKUP($D46,Lists!$J$1:$AB$29,2,FALSE)</f>
        <v>rr-Yy-SS</v>
      </c>
      <c r="G46" t="s">
        <v>96</v>
      </c>
      <c r="H46" s="29" t="str">
        <f>VLOOKUP($D46,Lists!$J$1:$AB$29,3,FALSE)</f>
        <v>Y</v>
      </c>
      <c r="I46" s="29">
        <f>VLOOKUP($D46,Lists!$J$1:$AB$29,4,FALSE)</f>
        <v>2</v>
      </c>
      <c r="J46" s="29" t="str">
        <f>VLOOKUP($D46,Lists!$J$1:$AB$29,5,FALSE)</f>
        <v>rYS</v>
      </c>
      <c r="K46" s="29">
        <f>VLOOKUP($D46,Lists!$J$1:$AB$29,6,FALSE)</f>
        <v>122</v>
      </c>
      <c r="L46" s="29" t="str">
        <f>VLOOKUP($D46,Lists!$J$1:$AB$29,7,FALSE)</f>
        <v>ryS</v>
      </c>
      <c r="M46" s="29">
        <f>VLOOKUP($D46,Lists!$J$1:$AB$29,8,FALSE)</f>
        <v>112</v>
      </c>
      <c r="N46" s="29" t="str">
        <f>VLOOKUP($D46,Lists!$J$1:$AB$29,9,FALSE)</f>
        <v>-</v>
      </c>
      <c r="O46" s="29" t="str">
        <f>VLOOKUP($D46,Lists!$J$1:$AB$29,10,FALSE)</f>
        <v>-</v>
      </c>
      <c r="P46" s="29" t="str">
        <f>VLOOKUP($D46,Lists!$J$1:$AB$29,11,FALSE)</f>
        <v>-</v>
      </c>
      <c r="Q46" s="29" t="str">
        <f>VLOOKUP($D46,Lists!$J$1:$AB$29,12,FALSE)</f>
        <v>-</v>
      </c>
      <c r="R46" s="29" t="str">
        <f>VLOOKUP($D46,Lists!$J$1:$AB$29,13,FALSE)</f>
        <v>-</v>
      </c>
      <c r="S46" s="29" t="str">
        <f>VLOOKUP($D46,Lists!$J$1:$AB$29,14,FALSE)</f>
        <v>-</v>
      </c>
      <c r="T46" s="29" t="str">
        <f>VLOOKUP($D46,Lists!$J$1:$AB$29,15,FALSE)</f>
        <v>-</v>
      </c>
      <c r="U46" s="29" t="str">
        <f>VLOOKUP($D46,Lists!$J$1:$AB$29,16,FALSE)</f>
        <v>-</v>
      </c>
      <c r="V46" s="29" t="str">
        <f>VLOOKUP($D46,Lists!$J$1:$AB$29,17,FALSE)</f>
        <v>-</v>
      </c>
      <c r="W46" s="29" t="str">
        <f>VLOOKUP($D46,Lists!$J$1:$AB$29,18,FALSE)</f>
        <v>-</v>
      </c>
      <c r="X46" s="29" t="str">
        <f>VLOOKUP($D46,Lists!$J$1:$AB$29,19,FALSE)</f>
        <v>-</v>
      </c>
      <c r="Y46" s="29" t="str">
        <f>VLOOKUP($D46,Lists!$J$1:$AC$29,20,FALSE)</f>
        <v>-</v>
      </c>
      <c r="Z46" s="32" t="str">
        <f t="shared" si="0"/>
        <v>5</v>
      </c>
    </row>
    <row r="47" spans="1:26" x14ac:dyDescent="0.25">
      <c r="A47" t="s">
        <v>78</v>
      </c>
      <c r="B47" t="s">
        <v>89</v>
      </c>
      <c r="C47" s="16" t="str">
        <f>A47&amp;B47</f>
        <v>LiliesWhite 6</v>
      </c>
      <c r="D47" s="8">
        <f>133</f>
        <v>133</v>
      </c>
      <c r="E47" s="30" t="str">
        <f>A47&amp;D47</f>
        <v>Lilies133</v>
      </c>
      <c r="F47" s="29" t="str">
        <f>VLOOKUP($D47,Lists!$J$1:$AB$29,2,FALSE)</f>
        <v>rr-YY-SS</v>
      </c>
      <c r="G47" t="s">
        <v>96</v>
      </c>
      <c r="H47" s="29" t="str">
        <f>VLOOKUP($D47,Lists!$J$1:$AB$29,3,FALSE)</f>
        <v>-</v>
      </c>
      <c r="I47" s="29">
        <f>VLOOKUP($D47,Lists!$J$1:$AB$29,4,FALSE)</f>
        <v>1</v>
      </c>
      <c r="J47" s="29" t="str">
        <f>VLOOKUP($D47,Lists!$J$1:$AB$29,5,FALSE)</f>
        <v>rYS</v>
      </c>
      <c r="K47" s="29">
        <f>VLOOKUP($D47,Lists!$J$1:$AB$29,6,FALSE)</f>
        <v>122</v>
      </c>
      <c r="L47" s="29" t="str">
        <f>VLOOKUP($D47,Lists!$J$1:$AB$29,7,FALSE)</f>
        <v>-</v>
      </c>
      <c r="M47" s="29" t="str">
        <f>VLOOKUP($D47,Lists!$J$1:$AB$29,8,FALSE)</f>
        <v>-</v>
      </c>
      <c r="N47" s="29" t="str">
        <f>VLOOKUP($D47,Lists!$J$1:$AB$29,9,FALSE)</f>
        <v>-</v>
      </c>
      <c r="O47" s="29" t="str">
        <f>VLOOKUP($D47,Lists!$J$1:$AB$29,10,FALSE)</f>
        <v>-</v>
      </c>
      <c r="P47" s="29" t="str">
        <f>VLOOKUP($D47,Lists!$J$1:$AB$29,11,FALSE)</f>
        <v>-</v>
      </c>
      <c r="Q47" s="29" t="str">
        <f>VLOOKUP($D47,Lists!$J$1:$AB$29,12,FALSE)</f>
        <v>-</v>
      </c>
      <c r="R47" s="29" t="str">
        <f>VLOOKUP($D47,Lists!$J$1:$AB$29,13,FALSE)</f>
        <v>-</v>
      </c>
      <c r="S47" s="29" t="str">
        <f>VLOOKUP($D47,Lists!$J$1:$AB$29,14,FALSE)</f>
        <v>-</v>
      </c>
      <c r="T47" s="29" t="str">
        <f>VLOOKUP($D47,Lists!$J$1:$AB$29,15,FALSE)</f>
        <v>-</v>
      </c>
      <c r="U47" s="29" t="str">
        <f>VLOOKUP($D47,Lists!$J$1:$AB$29,16,FALSE)</f>
        <v>-</v>
      </c>
      <c r="V47" s="29" t="str">
        <f>VLOOKUP($D47,Lists!$J$1:$AB$29,17,FALSE)</f>
        <v>-</v>
      </c>
      <c r="W47" s="29" t="str">
        <f>VLOOKUP($D47,Lists!$J$1:$AB$29,18,FALSE)</f>
        <v>-</v>
      </c>
      <c r="X47" s="29" t="str">
        <f>VLOOKUP($D47,Lists!$J$1:$AB$29,19,FALSE)</f>
        <v>-</v>
      </c>
      <c r="Y47" s="29" t="str">
        <f>VLOOKUP($D47,Lists!$J$1:$AC$29,20,FALSE)</f>
        <v>-</v>
      </c>
      <c r="Z47" s="32" t="str">
        <f t="shared" si="0"/>
        <v>6</v>
      </c>
    </row>
    <row r="48" spans="1:26" x14ac:dyDescent="0.25">
      <c r="A48" t="s">
        <v>78</v>
      </c>
      <c r="B48" t="s">
        <v>90</v>
      </c>
      <c r="C48" s="16" t="str">
        <f>A48&amp;B48</f>
        <v>LiliesWhite 7</v>
      </c>
      <c r="D48" s="8">
        <v>213</v>
      </c>
      <c r="E48" s="30" t="str">
        <f>A48&amp;D48</f>
        <v>Lilies213</v>
      </c>
      <c r="F48" s="29" t="str">
        <f>VLOOKUP($D48,Lists!$J$1:$AB$29,2,FALSE)</f>
        <v>Rr-yy-SS</v>
      </c>
      <c r="G48" t="s">
        <v>96</v>
      </c>
      <c r="H48" s="29" t="str">
        <f>VLOOKUP($D48,Lists!$J$1:$AB$29,3,FALSE)</f>
        <v>R</v>
      </c>
      <c r="I48" s="29">
        <f>VLOOKUP($D48,Lists!$J$1:$AB$29,4,FALSE)</f>
        <v>2</v>
      </c>
      <c r="J48" s="29" t="str">
        <f>VLOOKUP($D48,Lists!$J$1:$AB$29,5,FALSE)</f>
        <v>RyS</v>
      </c>
      <c r="K48" s="29">
        <f>VLOOKUP($D48,Lists!$J$1:$AB$29,6,FALSE)</f>
        <v>212</v>
      </c>
      <c r="L48" s="29" t="str">
        <f>VLOOKUP($D48,Lists!$J$1:$AB$29,7,FALSE)</f>
        <v>ryS</v>
      </c>
      <c r="M48" s="29">
        <f>VLOOKUP($D48,Lists!$J$1:$AB$29,8,FALSE)</f>
        <v>112</v>
      </c>
      <c r="N48" s="29" t="str">
        <f>VLOOKUP($D48,Lists!$J$1:$AB$29,9,FALSE)</f>
        <v>-</v>
      </c>
      <c r="O48" s="29" t="str">
        <f>VLOOKUP($D48,Lists!$J$1:$AB$29,10,FALSE)</f>
        <v>-</v>
      </c>
      <c r="P48" s="29" t="str">
        <f>VLOOKUP($D48,Lists!$J$1:$AB$29,11,FALSE)</f>
        <v>-</v>
      </c>
      <c r="Q48" s="29" t="str">
        <f>VLOOKUP($D48,Lists!$J$1:$AB$29,12,FALSE)</f>
        <v>-</v>
      </c>
      <c r="R48" s="29" t="str">
        <f>VLOOKUP($D48,Lists!$J$1:$AB$29,13,FALSE)</f>
        <v>-</v>
      </c>
      <c r="S48" s="29" t="str">
        <f>VLOOKUP($D48,Lists!$J$1:$AB$29,14,FALSE)</f>
        <v>-</v>
      </c>
      <c r="T48" s="29" t="str">
        <f>VLOOKUP($D48,Lists!$J$1:$AB$29,15,FALSE)</f>
        <v>-</v>
      </c>
      <c r="U48" s="29" t="str">
        <f>VLOOKUP($D48,Lists!$J$1:$AB$29,16,FALSE)</f>
        <v>-</v>
      </c>
      <c r="V48" s="29" t="str">
        <f>VLOOKUP($D48,Lists!$J$1:$AB$29,17,FALSE)</f>
        <v>-</v>
      </c>
      <c r="W48" s="29" t="str">
        <f>VLOOKUP($D48,Lists!$J$1:$AB$29,18,FALSE)</f>
        <v>-</v>
      </c>
      <c r="X48" s="29" t="str">
        <f>VLOOKUP($D48,Lists!$J$1:$AB$29,19,FALSE)</f>
        <v>-</v>
      </c>
      <c r="Y48" s="29" t="str">
        <f>VLOOKUP($D48,Lists!$J$1:$AC$29,20,FALSE)</f>
        <v>-</v>
      </c>
      <c r="Z48" s="32" t="str">
        <f t="shared" si="0"/>
        <v>7</v>
      </c>
    </row>
    <row r="49" spans="1:26" x14ac:dyDescent="0.25">
      <c r="A49" t="s">
        <v>78</v>
      </c>
      <c r="B49" t="s">
        <v>91</v>
      </c>
      <c r="C49" s="16" t="str">
        <f>A49&amp;B49</f>
        <v>LiliesWhite 8</v>
      </c>
      <c r="D49" s="8">
        <v>333</v>
      </c>
      <c r="E49" s="30" t="str">
        <f>A49&amp;D49</f>
        <v>Lilies333</v>
      </c>
      <c r="F49" s="29" t="str">
        <f>VLOOKUP($D49,Lists!$J$1:$AB$29,2,FALSE)</f>
        <v>RR-YY-SS</v>
      </c>
      <c r="G49" t="s">
        <v>96</v>
      </c>
      <c r="H49" s="29" t="str">
        <f>VLOOKUP($D49,Lists!$J$1:$AB$29,3,FALSE)</f>
        <v>-</v>
      </c>
      <c r="I49" s="29">
        <f>VLOOKUP($D49,Lists!$J$1:$AB$29,4,FALSE)</f>
        <v>1</v>
      </c>
      <c r="J49" s="29" t="str">
        <f>VLOOKUP($D49,Lists!$J$1:$AB$29,5,FALSE)</f>
        <v>RYS</v>
      </c>
      <c r="K49" s="29">
        <f>VLOOKUP($D49,Lists!$J$1:$AB$29,6,FALSE)</f>
        <v>222</v>
      </c>
      <c r="L49" s="29" t="str">
        <f>VLOOKUP($D49,Lists!$J$1:$AB$29,7,FALSE)</f>
        <v>-</v>
      </c>
      <c r="M49" s="29" t="str">
        <f>VLOOKUP($D49,Lists!$J$1:$AB$29,8,FALSE)</f>
        <v>-</v>
      </c>
      <c r="N49" s="29" t="str">
        <f>VLOOKUP($D49,Lists!$J$1:$AB$29,9,FALSE)</f>
        <v>-</v>
      </c>
      <c r="O49" s="29" t="str">
        <f>VLOOKUP($D49,Lists!$J$1:$AB$29,10,FALSE)</f>
        <v>-</v>
      </c>
      <c r="P49" s="29" t="str">
        <f>VLOOKUP($D49,Lists!$J$1:$AB$29,11,FALSE)</f>
        <v>-</v>
      </c>
      <c r="Q49" s="29" t="str">
        <f>VLOOKUP($D49,Lists!$J$1:$AB$29,12,FALSE)</f>
        <v>-</v>
      </c>
      <c r="R49" s="29" t="str">
        <f>VLOOKUP($D49,Lists!$J$1:$AB$29,13,FALSE)</f>
        <v>-</v>
      </c>
      <c r="S49" s="29" t="str">
        <f>VLOOKUP($D49,Lists!$J$1:$AB$29,14,FALSE)</f>
        <v>-</v>
      </c>
      <c r="T49" s="29" t="str">
        <f>VLOOKUP($D49,Lists!$J$1:$AB$29,15,FALSE)</f>
        <v>-</v>
      </c>
      <c r="U49" s="29" t="str">
        <f>VLOOKUP($D49,Lists!$J$1:$AB$29,16,FALSE)</f>
        <v>-</v>
      </c>
      <c r="V49" s="29" t="str">
        <f>VLOOKUP($D49,Lists!$J$1:$AB$29,17,FALSE)</f>
        <v>-</v>
      </c>
      <c r="W49" s="29" t="str">
        <f>VLOOKUP($D49,Lists!$J$1:$AB$29,18,FALSE)</f>
        <v>-</v>
      </c>
      <c r="X49" s="29" t="str">
        <f>VLOOKUP($D49,Lists!$J$1:$AB$29,19,FALSE)</f>
        <v>-</v>
      </c>
      <c r="Y49" s="29" t="str">
        <f>VLOOKUP($D49,Lists!$J$1:$AC$29,20,FALSE)</f>
        <v>-</v>
      </c>
      <c r="Z49" s="32" t="str">
        <f t="shared" si="0"/>
        <v>8</v>
      </c>
    </row>
    <row r="50" spans="1:26" x14ac:dyDescent="0.25">
      <c r="A50" t="s">
        <v>78</v>
      </c>
      <c r="B50" t="s">
        <v>42</v>
      </c>
      <c r="C50" s="16" t="str">
        <f>A50&amp;B50</f>
        <v>LiliesYellow 2</v>
      </c>
      <c r="D50" s="8">
        <v>121</v>
      </c>
      <c r="E50" s="30" t="str">
        <f>A50&amp;D50</f>
        <v>Lilies121</v>
      </c>
      <c r="F50" s="29" t="str">
        <f>VLOOKUP($D50,Lists!$J$1:$AB$29,2,FALSE)</f>
        <v>rr-Yy-ss</v>
      </c>
      <c r="G50" t="s">
        <v>95</v>
      </c>
      <c r="H50" s="29" t="str">
        <f>VLOOKUP($D50,Lists!$J$1:$AB$29,3,FALSE)</f>
        <v>Y</v>
      </c>
      <c r="I50" s="29">
        <f>VLOOKUP($D50,Lists!$J$1:$AB$29,4,FALSE)</f>
        <v>2</v>
      </c>
      <c r="J50" s="29" t="str">
        <f>VLOOKUP($D50,Lists!$J$1:$AB$29,5,FALSE)</f>
        <v>rYs</v>
      </c>
      <c r="K50" s="29">
        <f>VLOOKUP($D50,Lists!$J$1:$AB$29,6,FALSE)</f>
        <v>121</v>
      </c>
      <c r="L50" s="29" t="str">
        <f>VLOOKUP($D50,Lists!$J$1:$AB$29,7,FALSE)</f>
        <v>rys</v>
      </c>
      <c r="M50" s="29">
        <f>VLOOKUP($D50,Lists!$J$1:$AB$29,8,FALSE)</f>
        <v>111</v>
      </c>
      <c r="N50" s="29" t="str">
        <f>VLOOKUP($D50,Lists!$J$1:$AB$29,9,FALSE)</f>
        <v>-</v>
      </c>
      <c r="O50" s="29" t="str">
        <f>VLOOKUP($D50,Lists!$J$1:$AB$29,10,FALSE)</f>
        <v>-</v>
      </c>
      <c r="P50" s="29" t="str">
        <f>VLOOKUP($D50,Lists!$J$1:$AB$29,11,FALSE)</f>
        <v>-</v>
      </c>
      <c r="Q50" s="29" t="str">
        <f>VLOOKUP($D50,Lists!$J$1:$AB$29,12,FALSE)</f>
        <v>-</v>
      </c>
      <c r="R50" s="29" t="str">
        <f>VLOOKUP($D50,Lists!$J$1:$AB$29,13,FALSE)</f>
        <v>-</v>
      </c>
      <c r="S50" s="29" t="str">
        <f>VLOOKUP($D50,Lists!$J$1:$AB$29,14,FALSE)</f>
        <v>-</v>
      </c>
      <c r="T50" s="29" t="str">
        <f>VLOOKUP($D50,Lists!$J$1:$AB$29,15,FALSE)</f>
        <v>-</v>
      </c>
      <c r="U50" s="29" t="str">
        <f>VLOOKUP($D50,Lists!$J$1:$AB$29,16,FALSE)</f>
        <v>-</v>
      </c>
      <c r="V50" s="29" t="str">
        <f>VLOOKUP($D50,Lists!$J$1:$AB$29,17,FALSE)</f>
        <v>-</v>
      </c>
      <c r="W50" s="29" t="str">
        <f>VLOOKUP($D50,Lists!$J$1:$AB$29,18,FALSE)</f>
        <v>-</v>
      </c>
      <c r="X50" s="29" t="str">
        <f>VLOOKUP($D50,Lists!$J$1:$AB$29,19,FALSE)</f>
        <v>-</v>
      </c>
      <c r="Y50" s="29" t="str">
        <f>VLOOKUP($D50,Lists!$J$1:$AC$29,20,FALSE)</f>
        <v>-</v>
      </c>
      <c r="Z50" s="32" t="str">
        <f t="shared" si="0"/>
        <v>2</v>
      </c>
    </row>
    <row r="51" spans="1:26" x14ac:dyDescent="0.25">
      <c r="A51" t="s">
        <v>78</v>
      </c>
      <c r="B51" t="s">
        <v>43</v>
      </c>
      <c r="C51" s="16" t="str">
        <f>A51&amp;B51</f>
        <v>LiliesYellow 3</v>
      </c>
      <c r="D51" s="8">
        <v>132</v>
      </c>
      <c r="E51" s="30" t="str">
        <f>A51&amp;D51</f>
        <v>Lilies132</v>
      </c>
      <c r="F51" s="29" t="str">
        <f>VLOOKUP($D51,Lists!$J$1:$AB$29,2,FALSE)</f>
        <v>rr-YY-Ss</v>
      </c>
      <c r="G51" t="s">
        <v>95</v>
      </c>
      <c r="H51" s="29" t="str">
        <f>VLOOKUP($D51,Lists!$J$1:$AB$29,3,FALSE)</f>
        <v>S</v>
      </c>
      <c r="I51" s="29">
        <f>VLOOKUP($D51,Lists!$J$1:$AB$29,4,FALSE)</f>
        <v>2</v>
      </c>
      <c r="J51" s="29" t="str">
        <f>VLOOKUP($D51,Lists!$J$1:$AB$29,5,FALSE)</f>
        <v>rYs</v>
      </c>
      <c r="K51" s="29">
        <f>VLOOKUP($D51,Lists!$J$1:$AB$29,6,FALSE)</f>
        <v>121</v>
      </c>
      <c r="L51" s="29" t="str">
        <f>VLOOKUP($D51,Lists!$J$1:$AB$29,7,FALSE)</f>
        <v>rYS</v>
      </c>
      <c r="M51" s="29">
        <f>VLOOKUP($D51,Lists!$J$1:$AB$29,8,FALSE)</f>
        <v>122</v>
      </c>
      <c r="N51" s="29" t="str">
        <f>VLOOKUP($D51,Lists!$J$1:$AB$29,9,FALSE)</f>
        <v>-</v>
      </c>
      <c r="O51" s="29" t="str">
        <f>VLOOKUP($D51,Lists!$J$1:$AB$29,10,FALSE)</f>
        <v>-</v>
      </c>
      <c r="P51" s="29" t="str">
        <f>VLOOKUP($D51,Lists!$J$1:$AB$29,11,FALSE)</f>
        <v>-</v>
      </c>
      <c r="Q51" s="29" t="str">
        <f>VLOOKUP($D51,Lists!$J$1:$AB$29,12,FALSE)</f>
        <v>-</v>
      </c>
      <c r="R51" s="29" t="str">
        <f>VLOOKUP($D51,Lists!$J$1:$AB$29,13,FALSE)</f>
        <v>-</v>
      </c>
      <c r="S51" s="29" t="str">
        <f>VLOOKUP($D51,Lists!$J$1:$AB$29,14,FALSE)</f>
        <v>-</v>
      </c>
      <c r="T51" s="29" t="str">
        <f>VLOOKUP($D51,Lists!$J$1:$AB$29,15,FALSE)</f>
        <v>-</v>
      </c>
      <c r="U51" s="29" t="str">
        <f>VLOOKUP($D51,Lists!$J$1:$AB$29,16,FALSE)</f>
        <v>-</v>
      </c>
      <c r="V51" s="29" t="str">
        <f>VLOOKUP($D51,Lists!$J$1:$AB$29,17,FALSE)</f>
        <v>-</v>
      </c>
      <c r="W51" s="29" t="str">
        <f>VLOOKUP($D51,Lists!$J$1:$AB$29,18,FALSE)</f>
        <v>-</v>
      </c>
      <c r="X51" s="29" t="str">
        <f>VLOOKUP($D51,Lists!$J$1:$AB$29,19,FALSE)</f>
        <v>-</v>
      </c>
      <c r="Y51" s="29" t="str">
        <f>VLOOKUP($D51,Lists!$J$1:$AC$29,20,FALSE)</f>
        <v>-</v>
      </c>
      <c r="Z51" s="32" t="str">
        <f t="shared" si="0"/>
        <v>3</v>
      </c>
    </row>
    <row r="52" spans="1:26" x14ac:dyDescent="0.25">
      <c r="A52" t="s">
        <v>78</v>
      </c>
      <c r="B52" t="s">
        <v>54</v>
      </c>
      <c r="C52" s="16" t="str">
        <f>A52&amp;B52</f>
        <v>LiliesYellow 4</v>
      </c>
      <c r="D52" s="8">
        <v>222</v>
      </c>
      <c r="E52" s="30" t="str">
        <f>A52&amp;D52</f>
        <v>Lilies222</v>
      </c>
      <c r="F52" s="29" t="str">
        <f>VLOOKUP($D52,Lists!$J$1:$AB$29,2,FALSE)</f>
        <v>Rr-Yy-Ss</v>
      </c>
      <c r="G52" t="s">
        <v>95</v>
      </c>
      <c r="H52" s="29" t="str">
        <f>VLOOKUP($D52,Lists!$J$1:$AB$29,3,FALSE)</f>
        <v>RYS</v>
      </c>
      <c r="I52" s="29">
        <f>VLOOKUP($D52,Lists!$J$1:$AB$29,4,FALSE)</f>
        <v>8</v>
      </c>
      <c r="J52" s="29" t="str">
        <f>VLOOKUP($D52,Lists!$J$1:$AB$29,5,FALSE)</f>
        <v>RYS</v>
      </c>
      <c r="K52" s="29">
        <f>VLOOKUP($D52,Lists!$J$1:$AB$29,6,FALSE)</f>
        <v>222</v>
      </c>
      <c r="L52" s="29" t="str">
        <f>VLOOKUP($D52,Lists!$J$1:$AB$29,7,FALSE)</f>
        <v>RyS</v>
      </c>
      <c r="M52" s="29">
        <f>VLOOKUP($D52,Lists!$J$1:$AB$29,8,FALSE)</f>
        <v>212</v>
      </c>
      <c r="N52" s="29" t="str">
        <f>VLOOKUP($D52,Lists!$J$1:$AB$29,9,FALSE)</f>
        <v>RYs</v>
      </c>
      <c r="O52" s="29">
        <f>VLOOKUP($D52,Lists!$J$1:$AB$29,10,FALSE)</f>
        <v>221</v>
      </c>
      <c r="P52" s="29" t="str">
        <f>VLOOKUP($D52,Lists!$J$1:$AB$29,11,FALSE)</f>
        <v>Rys</v>
      </c>
      <c r="Q52" s="29">
        <f>VLOOKUP($D52,Lists!$J$1:$AB$29,12,FALSE)</f>
        <v>211</v>
      </c>
      <c r="R52" s="29" t="str">
        <f>VLOOKUP($D52,Lists!$J$1:$AB$29,13,FALSE)</f>
        <v>rYS</v>
      </c>
      <c r="S52" s="29">
        <f>VLOOKUP($D52,Lists!$J$1:$AB$29,14,FALSE)</f>
        <v>122</v>
      </c>
      <c r="T52" s="29" t="str">
        <f>VLOOKUP($D52,Lists!$J$1:$AB$29,15,FALSE)</f>
        <v>ryS</v>
      </c>
      <c r="U52" s="29">
        <f>VLOOKUP($D52,Lists!$J$1:$AB$29,16,FALSE)</f>
        <v>112</v>
      </c>
      <c r="V52" s="29" t="str">
        <f>VLOOKUP($D52,Lists!$J$1:$AB$29,17,FALSE)</f>
        <v>rYs</v>
      </c>
      <c r="W52" s="29">
        <f>VLOOKUP($D52,Lists!$J$1:$AB$29,18,FALSE)</f>
        <v>121</v>
      </c>
      <c r="X52" s="29" t="str">
        <f>VLOOKUP($D52,Lists!$J$1:$AB$29,19,FALSE)</f>
        <v>rys</v>
      </c>
      <c r="Y52" s="29">
        <f>VLOOKUP($D52,Lists!$J$1:$AC$29,20,FALSE)</f>
        <v>111</v>
      </c>
      <c r="Z52" s="32" t="str">
        <f t="shared" si="0"/>
        <v>4</v>
      </c>
    </row>
    <row r="53" spans="1:26" x14ac:dyDescent="0.25">
      <c r="A53" t="s">
        <v>78</v>
      </c>
      <c r="B53" t="s">
        <v>53</v>
      </c>
      <c r="C53" s="16" t="str">
        <f>A53&amp;B53</f>
        <v>LiliesYellow 5</v>
      </c>
      <c r="D53" s="8">
        <v>223</v>
      </c>
      <c r="E53" s="30" t="str">
        <f>A53&amp;D53</f>
        <v>Lilies223</v>
      </c>
      <c r="F53" s="29" t="str">
        <f>VLOOKUP($D53,Lists!$J$1:$AB$29,2,FALSE)</f>
        <v>Rr-Yy-SS</v>
      </c>
      <c r="G53" t="s">
        <v>95</v>
      </c>
      <c r="H53" s="29" t="str">
        <f>VLOOKUP($D53,Lists!$J$1:$AB$29,3,FALSE)</f>
        <v>RY</v>
      </c>
      <c r="I53" s="29">
        <f>VLOOKUP($D53,Lists!$J$1:$AB$29,4,FALSE)</f>
        <v>4</v>
      </c>
      <c r="J53" s="29" t="str">
        <f>VLOOKUP($D53,Lists!$J$1:$AB$29,5,FALSE)</f>
        <v>RYS</v>
      </c>
      <c r="K53" s="29">
        <f>VLOOKUP($D53,Lists!$J$1:$AB$29,6,FALSE)</f>
        <v>222</v>
      </c>
      <c r="L53" s="29" t="str">
        <f>VLOOKUP($D53,Lists!$J$1:$AB$29,7,FALSE)</f>
        <v>RyS</v>
      </c>
      <c r="M53" s="29">
        <f>VLOOKUP($D53,Lists!$J$1:$AB$29,8,FALSE)</f>
        <v>212</v>
      </c>
      <c r="N53" s="29" t="str">
        <f>VLOOKUP($D53,Lists!$J$1:$AB$29,9,FALSE)</f>
        <v>rYS</v>
      </c>
      <c r="O53" s="29">
        <f>VLOOKUP($D53,Lists!$J$1:$AB$29,10,FALSE)</f>
        <v>122</v>
      </c>
      <c r="P53" s="29" t="str">
        <f>VLOOKUP($D53,Lists!$J$1:$AB$29,11,FALSE)</f>
        <v>ryS</v>
      </c>
      <c r="Q53" s="29">
        <f>VLOOKUP($D53,Lists!$J$1:$AB$29,12,FALSE)</f>
        <v>112</v>
      </c>
      <c r="R53" s="29" t="str">
        <f>VLOOKUP($D53,Lists!$J$1:$AB$29,13,FALSE)</f>
        <v>-</v>
      </c>
      <c r="S53" s="29" t="str">
        <f>VLOOKUP($D53,Lists!$J$1:$AB$29,14,FALSE)</f>
        <v>-</v>
      </c>
      <c r="T53" s="29" t="str">
        <f>VLOOKUP($D53,Lists!$J$1:$AB$29,15,FALSE)</f>
        <v>-</v>
      </c>
      <c r="U53" s="29" t="str">
        <f>VLOOKUP($D53,Lists!$J$1:$AB$29,16,FALSE)</f>
        <v>-</v>
      </c>
      <c r="V53" s="29" t="str">
        <f>VLOOKUP($D53,Lists!$J$1:$AB$29,17,FALSE)</f>
        <v>-</v>
      </c>
      <c r="W53" s="29" t="str">
        <f>VLOOKUP($D53,Lists!$J$1:$AB$29,18,FALSE)</f>
        <v>-</v>
      </c>
      <c r="X53" s="29" t="str">
        <f>VLOOKUP($D53,Lists!$J$1:$AB$29,19,FALSE)</f>
        <v>-</v>
      </c>
      <c r="Y53" s="29" t="str">
        <f>VLOOKUP($D53,Lists!$J$1:$AC$29,20,FALSE)</f>
        <v>-</v>
      </c>
      <c r="Z53" s="32" t="str">
        <f t="shared" si="0"/>
        <v>5</v>
      </c>
    </row>
    <row r="54" spans="1:26" x14ac:dyDescent="0.25">
      <c r="A54" t="s">
        <v>78</v>
      </c>
      <c r="B54" t="s">
        <v>92</v>
      </c>
      <c r="C54" s="16" t="str">
        <f>A54&amp;B54</f>
        <v>LiliesYellow 6</v>
      </c>
      <c r="D54" s="8">
        <v>232</v>
      </c>
      <c r="E54" s="30" t="str">
        <f>A54&amp;D54</f>
        <v>Lilies232</v>
      </c>
      <c r="F54" s="29" t="str">
        <f>VLOOKUP($D54,Lists!$J$1:$AB$29,2,FALSE)</f>
        <v>Rr-YY-Ss</v>
      </c>
      <c r="G54" t="s">
        <v>95</v>
      </c>
      <c r="H54" s="29" t="str">
        <f>VLOOKUP($D54,Lists!$J$1:$AB$29,3,FALSE)</f>
        <v>RS</v>
      </c>
      <c r="I54" s="29">
        <f>VLOOKUP($D54,Lists!$J$1:$AB$29,4,FALSE)</f>
        <v>4</v>
      </c>
      <c r="J54" s="29" t="str">
        <f>VLOOKUP($D54,Lists!$J$1:$AB$29,5,FALSE)</f>
        <v>RYS</v>
      </c>
      <c r="K54" s="29">
        <f>VLOOKUP($D54,Lists!$J$1:$AB$29,6,FALSE)</f>
        <v>222</v>
      </c>
      <c r="L54" s="29" t="str">
        <f>VLOOKUP($D54,Lists!$J$1:$AB$29,7,FALSE)</f>
        <v>Rys</v>
      </c>
      <c r="M54" s="29">
        <f>VLOOKUP($D54,Lists!$J$1:$AB$29,8,FALSE)</f>
        <v>211</v>
      </c>
      <c r="N54" s="29" t="str">
        <f>VLOOKUP($D54,Lists!$J$1:$AB$29,9,FALSE)</f>
        <v>rYS</v>
      </c>
      <c r="O54" s="29">
        <f>VLOOKUP($D54,Lists!$J$1:$AB$29,10,FALSE)</f>
        <v>122</v>
      </c>
      <c r="P54" s="29" t="str">
        <f>VLOOKUP($D54,Lists!$J$1:$AB$29,11,FALSE)</f>
        <v>rYs</v>
      </c>
      <c r="Q54" s="29">
        <f>VLOOKUP($D54,Lists!$J$1:$AB$29,12,FALSE)</f>
        <v>121</v>
      </c>
      <c r="R54" s="29" t="str">
        <f>VLOOKUP($D54,Lists!$J$1:$AB$29,13,FALSE)</f>
        <v>-</v>
      </c>
      <c r="S54" s="29" t="str">
        <f>VLOOKUP($D54,Lists!$J$1:$AB$29,14,FALSE)</f>
        <v>-</v>
      </c>
      <c r="T54" s="29" t="str">
        <f>VLOOKUP($D54,Lists!$J$1:$AB$29,15,FALSE)</f>
        <v>-</v>
      </c>
      <c r="U54" s="29" t="str">
        <f>VLOOKUP($D54,Lists!$J$1:$AB$29,16,FALSE)</f>
        <v>-</v>
      </c>
      <c r="V54" s="29" t="str">
        <f>VLOOKUP($D54,Lists!$J$1:$AB$29,17,FALSE)</f>
        <v>-</v>
      </c>
      <c r="W54" s="29" t="str">
        <f>VLOOKUP($D54,Lists!$J$1:$AB$29,18,FALSE)</f>
        <v>-</v>
      </c>
      <c r="X54" s="29" t="str">
        <f>VLOOKUP($D54,Lists!$J$1:$AB$29,19,FALSE)</f>
        <v>-</v>
      </c>
      <c r="Y54" s="29" t="str">
        <f>VLOOKUP($D54,Lists!$J$1:$AC$29,20,FALSE)</f>
        <v>-</v>
      </c>
      <c r="Z54" s="32" t="str">
        <f t="shared" si="0"/>
        <v>6</v>
      </c>
    </row>
    <row r="55" spans="1:26" x14ac:dyDescent="0.25">
      <c r="A55" t="s">
        <v>78</v>
      </c>
      <c r="B55" t="s">
        <v>93</v>
      </c>
      <c r="C55" s="16" t="str">
        <f>A55&amp;B55</f>
        <v>LiliesYellow 7</v>
      </c>
      <c r="D55" s="8">
        <v>233</v>
      </c>
      <c r="E55" s="30" t="str">
        <f>A55&amp;D55</f>
        <v>Lilies233</v>
      </c>
      <c r="F55" s="29" t="str">
        <f>VLOOKUP($D55,Lists!$J$1:$AB$29,2,FALSE)</f>
        <v>Rr-YY-SS</v>
      </c>
      <c r="G55" t="s">
        <v>95</v>
      </c>
      <c r="H55" s="29" t="str">
        <f>VLOOKUP($D55,Lists!$J$1:$AB$29,3,FALSE)</f>
        <v>R</v>
      </c>
      <c r="I55" s="29">
        <f>VLOOKUP($D55,Lists!$J$1:$AB$29,4,FALSE)</f>
        <v>2</v>
      </c>
      <c r="J55" s="29" t="str">
        <f>VLOOKUP($D55,Lists!$J$1:$AB$29,5,FALSE)</f>
        <v>RYS</v>
      </c>
      <c r="K55" s="29">
        <f>VLOOKUP($D55,Lists!$J$1:$AB$29,6,FALSE)</f>
        <v>222</v>
      </c>
      <c r="L55" s="29" t="str">
        <f>VLOOKUP($D55,Lists!$J$1:$AB$29,7,FALSE)</f>
        <v>rYS</v>
      </c>
      <c r="M55" s="29">
        <f>VLOOKUP($D55,Lists!$J$1:$AB$29,8,FALSE)</f>
        <v>122</v>
      </c>
      <c r="N55" s="29" t="str">
        <f>VLOOKUP($D55,Lists!$J$1:$AB$29,9,FALSE)</f>
        <v>-</v>
      </c>
      <c r="O55" s="29" t="str">
        <f>VLOOKUP($D55,Lists!$J$1:$AB$29,10,FALSE)</f>
        <v>-</v>
      </c>
      <c r="P55" s="29" t="str">
        <f>VLOOKUP($D55,Lists!$J$1:$AB$29,11,FALSE)</f>
        <v>-</v>
      </c>
      <c r="Q55" s="29" t="str">
        <f>VLOOKUP($D55,Lists!$J$1:$AB$29,12,FALSE)</f>
        <v>-</v>
      </c>
      <c r="R55" s="29" t="str">
        <f>VLOOKUP($D55,Lists!$J$1:$AB$29,13,FALSE)</f>
        <v>-</v>
      </c>
      <c r="S55" s="29" t="str">
        <f>VLOOKUP($D55,Lists!$J$1:$AB$29,14,FALSE)</f>
        <v>-</v>
      </c>
      <c r="T55" s="29" t="str">
        <f>VLOOKUP($D55,Lists!$J$1:$AB$29,15,FALSE)</f>
        <v>-</v>
      </c>
      <c r="U55" s="29" t="str">
        <f>VLOOKUP($D55,Lists!$J$1:$AB$29,16,FALSE)</f>
        <v>-</v>
      </c>
      <c r="V55" s="29" t="str">
        <f>VLOOKUP($D55,Lists!$J$1:$AB$29,17,FALSE)</f>
        <v>-</v>
      </c>
      <c r="W55" s="29" t="str">
        <f>VLOOKUP($D55,Lists!$J$1:$AB$29,18,FALSE)</f>
        <v>-</v>
      </c>
      <c r="X55" s="29" t="str">
        <f>VLOOKUP($D55,Lists!$J$1:$AB$29,19,FALSE)</f>
        <v>-</v>
      </c>
      <c r="Y55" s="29" t="str">
        <f>VLOOKUP($D55,Lists!$J$1:$AC$29,20,FALSE)</f>
        <v>-</v>
      </c>
      <c r="Z55" s="32" t="str">
        <f t="shared" si="0"/>
        <v>7</v>
      </c>
    </row>
    <row r="56" spans="1:26" x14ac:dyDescent="0.25">
      <c r="A56" t="s">
        <v>80</v>
      </c>
      <c r="B56" t="s">
        <v>77</v>
      </c>
      <c r="C56" s="16" t="str">
        <f>A56&amp;B56</f>
        <v>PansiesRed Seed</v>
      </c>
      <c r="D56" s="8">
        <v>311</v>
      </c>
      <c r="E56" s="42" t="str">
        <f>A56&amp;D56</f>
        <v>Pansies311</v>
      </c>
      <c r="F56" s="29" t="str">
        <f>VLOOKUP($D56,Lists!$J$1:$AB$29,2,FALSE)</f>
        <v>RR-yy-ss</v>
      </c>
      <c r="G56" t="s">
        <v>94</v>
      </c>
      <c r="H56" s="29" t="str">
        <f>VLOOKUP($D56,Lists!$J$1:$AB$29,3,FALSE)</f>
        <v>-</v>
      </c>
      <c r="I56" s="29">
        <f>VLOOKUP($D56,Lists!$J$1:$AB$29,4,FALSE)</f>
        <v>1</v>
      </c>
      <c r="J56" s="29" t="str">
        <f>VLOOKUP($D56,Lists!$J$1:$AB$29,5,FALSE)</f>
        <v>Rys</v>
      </c>
      <c r="K56" s="29">
        <f>VLOOKUP($D56,Lists!$J$1:$AB$29,6,FALSE)</f>
        <v>211</v>
      </c>
      <c r="L56" s="29" t="str">
        <f>VLOOKUP($D56,Lists!$J$1:$AB$29,7,FALSE)</f>
        <v>-</v>
      </c>
      <c r="M56" s="29" t="str">
        <f>VLOOKUP($D56,Lists!$J$1:$AB$29,8,FALSE)</f>
        <v>-</v>
      </c>
      <c r="N56" s="29" t="str">
        <f>VLOOKUP($D56,Lists!$J$1:$AB$29,9,FALSE)</f>
        <v>-</v>
      </c>
      <c r="O56" s="29" t="str">
        <f>VLOOKUP($D56,Lists!$J$1:$AB$29,10,FALSE)</f>
        <v>-</v>
      </c>
      <c r="P56" s="29" t="str">
        <f>VLOOKUP($D56,Lists!$J$1:$AB$29,11,FALSE)</f>
        <v>-</v>
      </c>
      <c r="Q56" s="29" t="str">
        <f>VLOOKUP($D56,Lists!$J$1:$AB$29,12,FALSE)</f>
        <v>-</v>
      </c>
      <c r="R56" s="29" t="str">
        <f>VLOOKUP($D56,Lists!$J$1:$AB$29,13,FALSE)</f>
        <v>-</v>
      </c>
      <c r="S56" s="29" t="str">
        <f>VLOOKUP($D56,Lists!$J$1:$AB$29,14,FALSE)</f>
        <v>-</v>
      </c>
      <c r="T56" s="29" t="str">
        <f>VLOOKUP($D56,Lists!$J$1:$AB$29,15,FALSE)</f>
        <v>-</v>
      </c>
      <c r="U56" s="29" t="str">
        <f>VLOOKUP($D56,Lists!$J$1:$AB$29,16,FALSE)</f>
        <v>-</v>
      </c>
      <c r="V56" s="29" t="str">
        <f>VLOOKUP($D56,Lists!$J$1:$AB$29,17,FALSE)</f>
        <v>-</v>
      </c>
      <c r="W56" s="29" t="str">
        <f>VLOOKUP($D56,Lists!$J$1:$AB$29,18,FALSE)</f>
        <v>-</v>
      </c>
      <c r="X56" s="29" t="str">
        <f>VLOOKUP($D56,Lists!$J$1:$AB$29,19,FALSE)</f>
        <v>-</v>
      </c>
      <c r="Y56" s="29" t="str">
        <f>VLOOKUP($D56,Lists!$J$1:$AC$29,20,FALSE)</f>
        <v>-</v>
      </c>
      <c r="Z56" s="32" t="s">
        <v>141</v>
      </c>
    </row>
    <row r="57" spans="1:26" x14ac:dyDescent="0.25">
      <c r="A57" t="s">
        <v>80</v>
      </c>
      <c r="B57" t="s">
        <v>84</v>
      </c>
      <c r="C57" s="16" t="str">
        <f>A57&amp;B57</f>
        <v>PansiesYellow Seed</v>
      </c>
      <c r="D57" s="8">
        <v>131</v>
      </c>
      <c r="E57" s="42" t="str">
        <f>A57&amp;D57</f>
        <v>Pansies131</v>
      </c>
      <c r="F57" s="29" t="str">
        <f>VLOOKUP($D57,Lists!$J$1:$AB$29,2,FALSE)</f>
        <v>rr-YY-ss</v>
      </c>
      <c r="G57" t="s">
        <v>95</v>
      </c>
      <c r="H57" s="29" t="str">
        <f>VLOOKUP($D57,Lists!$J$1:$AB$29,3,FALSE)</f>
        <v>-</v>
      </c>
      <c r="I57" s="29">
        <f>VLOOKUP($D57,Lists!$J$1:$AB$29,4,FALSE)</f>
        <v>1</v>
      </c>
      <c r="J57" s="29" t="str">
        <f>VLOOKUP($D57,Lists!$J$1:$AB$29,5,FALSE)</f>
        <v>rYs</v>
      </c>
      <c r="K57" s="29">
        <f>VLOOKUP($D57,Lists!$J$1:$AB$29,6,FALSE)</f>
        <v>121</v>
      </c>
      <c r="L57" s="29" t="str">
        <f>VLOOKUP($D57,Lists!$J$1:$AB$29,7,FALSE)</f>
        <v>-</v>
      </c>
      <c r="M57" s="29" t="str">
        <f>VLOOKUP($D57,Lists!$J$1:$AB$29,8,FALSE)</f>
        <v>-</v>
      </c>
      <c r="N57" s="29" t="str">
        <f>VLOOKUP($D57,Lists!$J$1:$AB$29,9,FALSE)</f>
        <v>-</v>
      </c>
      <c r="O57" s="29" t="str">
        <f>VLOOKUP($D57,Lists!$J$1:$AB$29,10,FALSE)</f>
        <v>-</v>
      </c>
      <c r="P57" s="29" t="str">
        <f>VLOOKUP($D57,Lists!$J$1:$AB$29,11,FALSE)</f>
        <v>-</v>
      </c>
      <c r="Q57" s="29" t="str">
        <f>VLOOKUP($D57,Lists!$J$1:$AB$29,12,FALSE)</f>
        <v>-</v>
      </c>
      <c r="R57" s="29" t="str">
        <f>VLOOKUP($D57,Lists!$J$1:$AB$29,13,FALSE)</f>
        <v>-</v>
      </c>
      <c r="S57" s="29" t="str">
        <f>VLOOKUP($D57,Lists!$J$1:$AB$29,14,FALSE)</f>
        <v>-</v>
      </c>
      <c r="T57" s="29" t="str">
        <f>VLOOKUP($D57,Lists!$J$1:$AB$29,15,FALSE)</f>
        <v>-</v>
      </c>
      <c r="U57" s="29" t="str">
        <f>VLOOKUP($D57,Lists!$J$1:$AB$29,16,FALSE)</f>
        <v>-</v>
      </c>
      <c r="V57" s="29" t="str">
        <f>VLOOKUP($D57,Lists!$J$1:$AB$29,17,FALSE)</f>
        <v>-</v>
      </c>
      <c r="W57" s="29" t="str">
        <f>VLOOKUP($D57,Lists!$J$1:$AB$29,18,FALSE)</f>
        <v>-</v>
      </c>
      <c r="X57" s="29" t="str">
        <f>VLOOKUP($D57,Lists!$J$1:$AB$29,19,FALSE)</f>
        <v>-</v>
      </c>
      <c r="Y57" s="29" t="str">
        <f>VLOOKUP($D57,Lists!$J$1:$AC$29,20,FALSE)</f>
        <v>-</v>
      </c>
      <c r="Z57" s="32" t="s">
        <v>141</v>
      </c>
    </row>
    <row r="58" spans="1:26" x14ac:dyDescent="0.25">
      <c r="A58" t="s">
        <v>80</v>
      </c>
      <c r="B58" t="s">
        <v>85</v>
      </c>
      <c r="C58" s="16" t="str">
        <f>A58&amp;B58</f>
        <v>PansiesWhite Seed</v>
      </c>
      <c r="D58" s="8">
        <v>112</v>
      </c>
      <c r="E58" s="42" t="str">
        <f>A58&amp;D58</f>
        <v>Pansies112</v>
      </c>
      <c r="F58" s="29" t="str">
        <f>VLOOKUP($D58,Lists!$J$1:$AB$29,2,FALSE)</f>
        <v>rr-yy-Ss</v>
      </c>
      <c r="G58" t="s">
        <v>96</v>
      </c>
      <c r="H58" s="29" t="str">
        <f>VLOOKUP($D58,Lists!$J$1:$AB$29,3,FALSE)</f>
        <v>S</v>
      </c>
      <c r="I58" s="29">
        <f>VLOOKUP($D58,Lists!$J$1:$AB$29,4,FALSE)</f>
        <v>2</v>
      </c>
      <c r="J58" s="29" t="str">
        <f>VLOOKUP($D58,Lists!$J$1:$AB$29,5,FALSE)</f>
        <v>rys</v>
      </c>
      <c r="K58" s="29">
        <f>VLOOKUP($D58,Lists!$J$1:$AB$29,6,FALSE)</f>
        <v>111</v>
      </c>
      <c r="L58" s="29" t="str">
        <f>VLOOKUP($D58,Lists!$J$1:$AB$29,7,FALSE)</f>
        <v>ryS</v>
      </c>
      <c r="M58" s="29">
        <f>VLOOKUP($D58,Lists!$J$1:$AB$29,8,FALSE)</f>
        <v>112</v>
      </c>
      <c r="N58" s="29" t="str">
        <f>VLOOKUP($D58,Lists!$J$1:$AB$29,9,FALSE)</f>
        <v>-</v>
      </c>
      <c r="O58" s="29" t="str">
        <f>VLOOKUP($D58,Lists!$J$1:$AB$29,10,FALSE)</f>
        <v>-</v>
      </c>
      <c r="P58" s="29" t="str">
        <f>VLOOKUP($D58,Lists!$J$1:$AB$29,11,FALSE)</f>
        <v>-</v>
      </c>
      <c r="Q58" s="29" t="str">
        <f>VLOOKUP($D58,Lists!$J$1:$AB$29,12,FALSE)</f>
        <v>-</v>
      </c>
      <c r="R58" s="29" t="str">
        <f>VLOOKUP($D58,Lists!$J$1:$AB$29,13,FALSE)</f>
        <v>-</v>
      </c>
      <c r="S58" s="29" t="str">
        <f>VLOOKUP($D58,Lists!$J$1:$AB$29,14,FALSE)</f>
        <v>-</v>
      </c>
      <c r="T58" s="29" t="str">
        <f>VLOOKUP($D58,Lists!$J$1:$AB$29,15,FALSE)</f>
        <v>-</v>
      </c>
      <c r="U58" s="29" t="str">
        <f>VLOOKUP($D58,Lists!$J$1:$AB$29,16,FALSE)</f>
        <v>-</v>
      </c>
      <c r="V58" s="29" t="str">
        <f>VLOOKUP($D58,Lists!$J$1:$AB$29,17,FALSE)</f>
        <v>-</v>
      </c>
      <c r="W58" s="29" t="str">
        <f>VLOOKUP($D58,Lists!$J$1:$AB$29,18,FALSE)</f>
        <v>-</v>
      </c>
      <c r="X58" s="29" t="str">
        <f>VLOOKUP($D58,Lists!$J$1:$AB$29,19,FALSE)</f>
        <v>-</v>
      </c>
      <c r="Y58" s="29" t="str">
        <f>VLOOKUP($D58,Lists!$J$1:$AC$29,20,FALSE)</f>
        <v>-</v>
      </c>
      <c r="Z58" s="32" t="s">
        <v>141</v>
      </c>
    </row>
    <row r="59" spans="1:26" x14ac:dyDescent="0.25">
      <c r="A59" t="s">
        <v>80</v>
      </c>
      <c r="B59" t="s">
        <v>103</v>
      </c>
      <c r="C59" s="16" t="str">
        <f>A59&amp;B59</f>
        <v>PansiesBlue 1</v>
      </c>
      <c r="D59" s="8">
        <v>113</v>
      </c>
      <c r="E59" s="42" t="str">
        <f>A59&amp;D59</f>
        <v>Pansies113</v>
      </c>
      <c r="F59" s="29" t="str">
        <f>VLOOKUP($D59,Lists!$J$1:$AB$29,2,FALSE)</f>
        <v>rr-yy-SS</v>
      </c>
      <c r="G59" t="s">
        <v>111</v>
      </c>
      <c r="H59" s="29" t="str">
        <f>VLOOKUP($D59,Lists!$J$1:$AB$29,3,FALSE)</f>
        <v>-</v>
      </c>
      <c r="I59" s="29">
        <f>VLOOKUP($D59,Lists!$J$1:$AB$29,4,FALSE)</f>
        <v>1</v>
      </c>
      <c r="J59" s="29" t="str">
        <f>VLOOKUP($D59,Lists!$J$1:$AB$29,5,FALSE)</f>
        <v>ryS</v>
      </c>
      <c r="K59" s="29">
        <f>VLOOKUP($D59,Lists!$J$1:$AB$29,6,FALSE)</f>
        <v>112</v>
      </c>
      <c r="L59" s="29" t="str">
        <f>VLOOKUP($D59,Lists!$J$1:$AB$29,7,FALSE)</f>
        <v>-</v>
      </c>
      <c r="M59" s="29" t="str">
        <f>VLOOKUP($D59,Lists!$J$1:$AB$29,8,FALSE)</f>
        <v>-</v>
      </c>
      <c r="N59" s="29" t="str">
        <f>VLOOKUP($D59,Lists!$J$1:$AB$29,9,FALSE)</f>
        <v>-</v>
      </c>
      <c r="O59" s="29" t="str">
        <f>VLOOKUP($D59,Lists!$J$1:$AB$29,10,FALSE)</f>
        <v>-</v>
      </c>
      <c r="P59" s="29" t="str">
        <f>VLOOKUP($D59,Lists!$J$1:$AB$29,11,FALSE)</f>
        <v>-</v>
      </c>
      <c r="Q59" s="29" t="str">
        <f>VLOOKUP($D59,Lists!$J$1:$AB$29,12,FALSE)</f>
        <v>-</v>
      </c>
      <c r="R59" s="29" t="str">
        <f>VLOOKUP($D59,Lists!$J$1:$AB$29,13,FALSE)</f>
        <v>-</v>
      </c>
      <c r="S59" s="29" t="str">
        <f>VLOOKUP($D59,Lists!$J$1:$AB$29,14,FALSE)</f>
        <v>-</v>
      </c>
      <c r="T59" s="29" t="str">
        <f>VLOOKUP($D59,Lists!$J$1:$AB$29,15,FALSE)</f>
        <v>-</v>
      </c>
      <c r="U59" s="29" t="str">
        <f>VLOOKUP($D59,Lists!$J$1:$AB$29,16,FALSE)</f>
        <v>-</v>
      </c>
      <c r="V59" s="29" t="str">
        <f>VLOOKUP($D59,Lists!$J$1:$AB$29,17,FALSE)</f>
        <v>-</v>
      </c>
      <c r="W59" s="29" t="str">
        <f>VLOOKUP($D59,Lists!$J$1:$AB$29,18,FALSE)</f>
        <v>-</v>
      </c>
      <c r="X59" s="29" t="str">
        <f>VLOOKUP($D59,Lists!$J$1:$AB$29,19,FALSE)</f>
        <v>-</v>
      </c>
      <c r="Y59" s="29" t="str">
        <f>VLOOKUP($D59,Lists!$J$1:$AC$29,20,FALSE)</f>
        <v>-</v>
      </c>
      <c r="Z59" s="32" t="str">
        <f t="shared" si="0"/>
        <v>1</v>
      </c>
    </row>
    <row r="60" spans="1:26" x14ac:dyDescent="0.25">
      <c r="A60" t="s">
        <v>80</v>
      </c>
      <c r="B60" t="s">
        <v>104</v>
      </c>
      <c r="C60" s="16" t="str">
        <f>A60&amp;B60</f>
        <v>PansiesBlue 2</v>
      </c>
      <c r="D60" s="8">
        <v>123</v>
      </c>
      <c r="E60" s="42" t="str">
        <f>A60&amp;D60</f>
        <v>Pansies123</v>
      </c>
      <c r="F60" s="29" t="str">
        <f>VLOOKUP($D60,Lists!$J$1:$AB$29,2,FALSE)</f>
        <v>rr-Yy-SS</v>
      </c>
      <c r="G60" t="s">
        <v>111</v>
      </c>
      <c r="H60" s="29" t="str">
        <f>VLOOKUP($D60,Lists!$J$1:$AB$29,3,FALSE)</f>
        <v>Y</v>
      </c>
      <c r="I60" s="29">
        <f>VLOOKUP($D60,Lists!$J$1:$AB$29,4,FALSE)</f>
        <v>2</v>
      </c>
      <c r="J60" s="29" t="str">
        <f>VLOOKUP($D60,Lists!$J$1:$AB$29,5,FALSE)</f>
        <v>rYS</v>
      </c>
      <c r="K60" s="29">
        <f>VLOOKUP($D60,Lists!$J$1:$AB$29,6,FALSE)</f>
        <v>122</v>
      </c>
      <c r="L60" s="29" t="str">
        <f>VLOOKUP($D60,Lists!$J$1:$AB$29,7,FALSE)</f>
        <v>ryS</v>
      </c>
      <c r="M60" s="29">
        <f>VLOOKUP($D60,Lists!$J$1:$AB$29,8,FALSE)</f>
        <v>112</v>
      </c>
      <c r="N60" s="29" t="str">
        <f>VLOOKUP($D60,Lists!$J$1:$AB$29,9,FALSE)</f>
        <v>-</v>
      </c>
      <c r="O60" s="29" t="str">
        <f>VLOOKUP($D60,Lists!$J$1:$AB$29,10,FALSE)</f>
        <v>-</v>
      </c>
      <c r="P60" s="29" t="str">
        <f>VLOOKUP($D60,Lists!$J$1:$AB$29,11,FALSE)</f>
        <v>-</v>
      </c>
      <c r="Q60" s="29" t="str">
        <f>VLOOKUP($D60,Lists!$J$1:$AB$29,12,FALSE)</f>
        <v>-</v>
      </c>
      <c r="R60" s="29" t="str">
        <f>VLOOKUP($D60,Lists!$J$1:$AB$29,13,FALSE)</f>
        <v>-</v>
      </c>
      <c r="S60" s="29" t="str">
        <f>VLOOKUP($D60,Lists!$J$1:$AB$29,14,FALSE)</f>
        <v>-</v>
      </c>
      <c r="T60" s="29" t="str">
        <f>VLOOKUP($D60,Lists!$J$1:$AB$29,15,FALSE)</f>
        <v>-</v>
      </c>
      <c r="U60" s="29" t="str">
        <f>VLOOKUP($D60,Lists!$J$1:$AB$29,16,FALSE)</f>
        <v>-</v>
      </c>
      <c r="V60" s="29" t="str">
        <f>VLOOKUP($D60,Lists!$J$1:$AB$29,17,FALSE)</f>
        <v>-</v>
      </c>
      <c r="W60" s="29" t="str">
        <f>VLOOKUP($D60,Lists!$J$1:$AB$29,18,FALSE)</f>
        <v>-</v>
      </c>
      <c r="X60" s="29" t="str">
        <f>VLOOKUP($D60,Lists!$J$1:$AB$29,19,FALSE)</f>
        <v>-</v>
      </c>
      <c r="Y60" s="29" t="str">
        <f>VLOOKUP($D60,Lists!$J$1:$AC$29,20,FALSE)</f>
        <v>-</v>
      </c>
      <c r="Z60" s="32" t="str">
        <f t="shared" si="0"/>
        <v>2</v>
      </c>
    </row>
    <row r="61" spans="1:26" x14ac:dyDescent="0.25">
      <c r="A61" t="s">
        <v>80</v>
      </c>
      <c r="B61" t="s">
        <v>105</v>
      </c>
      <c r="C61" s="16" t="str">
        <f>A61&amp;B61</f>
        <v>PansiesBlue 3</v>
      </c>
      <c r="D61" s="8">
        <v>213</v>
      </c>
      <c r="E61" s="42" t="str">
        <f>A61&amp;D61</f>
        <v>Pansies213</v>
      </c>
      <c r="F61" s="29" t="str">
        <f>VLOOKUP($D61,Lists!$J$1:$AB$29,2,FALSE)</f>
        <v>Rr-yy-SS</v>
      </c>
      <c r="G61" t="s">
        <v>111</v>
      </c>
      <c r="H61" s="29" t="str">
        <f>VLOOKUP($D61,Lists!$J$1:$AB$29,3,FALSE)</f>
        <v>R</v>
      </c>
      <c r="I61" s="29">
        <f>VLOOKUP($D61,Lists!$J$1:$AB$29,4,FALSE)</f>
        <v>2</v>
      </c>
      <c r="J61" s="29" t="str">
        <f>VLOOKUP($D61,Lists!$J$1:$AB$29,5,FALSE)</f>
        <v>RyS</v>
      </c>
      <c r="K61" s="29">
        <f>VLOOKUP($D61,Lists!$J$1:$AB$29,6,FALSE)</f>
        <v>212</v>
      </c>
      <c r="L61" s="29" t="str">
        <f>VLOOKUP($D61,Lists!$J$1:$AB$29,7,FALSE)</f>
        <v>ryS</v>
      </c>
      <c r="M61" s="29">
        <f>VLOOKUP($D61,Lists!$J$1:$AB$29,8,FALSE)</f>
        <v>112</v>
      </c>
      <c r="N61" s="29" t="str">
        <f>VLOOKUP($D61,Lists!$J$1:$AB$29,9,FALSE)</f>
        <v>-</v>
      </c>
      <c r="O61" s="29" t="str">
        <f>VLOOKUP($D61,Lists!$J$1:$AB$29,10,FALSE)</f>
        <v>-</v>
      </c>
      <c r="P61" s="29" t="str">
        <f>VLOOKUP($D61,Lists!$J$1:$AB$29,11,FALSE)</f>
        <v>-</v>
      </c>
      <c r="Q61" s="29" t="str">
        <f>VLOOKUP($D61,Lists!$J$1:$AB$29,12,FALSE)</f>
        <v>-</v>
      </c>
      <c r="R61" s="29" t="str">
        <f>VLOOKUP($D61,Lists!$J$1:$AB$29,13,FALSE)</f>
        <v>-</v>
      </c>
      <c r="S61" s="29" t="str">
        <f>VLOOKUP($D61,Lists!$J$1:$AB$29,14,FALSE)</f>
        <v>-</v>
      </c>
      <c r="T61" s="29" t="str">
        <f>VLOOKUP($D61,Lists!$J$1:$AB$29,15,FALSE)</f>
        <v>-</v>
      </c>
      <c r="U61" s="29" t="str">
        <f>VLOOKUP($D61,Lists!$J$1:$AB$29,16,FALSE)</f>
        <v>-</v>
      </c>
      <c r="V61" s="29" t="str">
        <f>VLOOKUP($D61,Lists!$J$1:$AB$29,17,FALSE)</f>
        <v>-</v>
      </c>
      <c r="W61" s="29" t="str">
        <f>VLOOKUP($D61,Lists!$J$1:$AB$29,18,FALSE)</f>
        <v>-</v>
      </c>
      <c r="X61" s="29" t="str">
        <f>VLOOKUP($D61,Lists!$J$1:$AB$29,19,FALSE)</f>
        <v>-</v>
      </c>
      <c r="Y61" s="29" t="str">
        <f>VLOOKUP($D61,Lists!$J$1:$AC$29,20,FALSE)</f>
        <v>-</v>
      </c>
      <c r="Z61" s="32" t="str">
        <f t="shared" si="0"/>
        <v>3</v>
      </c>
    </row>
    <row r="62" spans="1:26" x14ac:dyDescent="0.25">
      <c r="A62" t="s">
        <v>80</v>
      </c>
      <c r="B62" t="s">
        <v>18</v>
      </c>
      <c r="C62" s="16" t="str">
        <f>A62&amp;B62</f>
        <v>PansiesOrange 1</v>
      </c>
      <c r="D62" s="8">
        <v>221</v>
      </c>
      <c r="E62" s="42" t="str">
        <f>A62&amp;D62</f>
        <v>Pansies221</v>
      </c>
      <c r="F62" s="29" t="str">
        <f>VLOOKUP($D62,Lists!$J$1:$AB$29,2,FALSE)</f>
        <v>Rr-Yy-ss</v>
      </c>
      <c r="G62" t="s">
        <v>97</v>
      </c>
      <c r="H62" s="29" t="str">
        <f>VLOOKUP($D62,Lists!$J$1:$AB$29,3,FALSE)</f>
        <v>RY</v>
      </c>
      <c r="I62" s="29">
        <f>VLOOKUP($D62,Lists!$J$1:$AB$29,4,FALSE)</f>
        <v>4</v>
      </c>
      <c r="J62" s="29" t="str">
        <f>VLOOKUP($D62,Lists!$J$1:$AB$29,5,FALSE)</f>
        <v>RYs</v>
      </c>
      <c r="K62" s="29">
        <f>VLOOKUP($D62,Lists!$J$1:$AB$29,6,FALSE)</f>
        <v>221</v>
      </c>
      <c r="L62" s="29" t="str">
        <f>VLOOKUP($D62,Lists!$J$1:$AB$29,7,FALSE)</f>
        <v>Rys</v>
      </c>
      <c r="M62" s="29">
        <f>VLOOKUP($D62,Lists!$J$1:$AB$29,8,FALSE)</f>
        <v>211</v>
      </c>
      <c r="N62" s="29" t="str">
        <f>VLOOKUP($D62,Lists!$J$1:$AB$29,9,FALSE)</f>
        <v>rYs</v>
      </c>
      <c r="O62" s="29">
        <f>VLOOKUP($D62,Lists!$J$1:$AB$29,10,FALSE)</f>
        <v>121</v>
      </c>
      <c r="P62" s="29" t="str">
        <f>VLOOKUP($D62,Lists!$J$1:$AB$29,11,FALSE)</f>
        <v>rys</v>
      </c>
      <c r="Q62" s="29">
        <f>VLOOKUP($D62,Lists!$J$1:$AB$29,12,FALSE)</f>
        <v>111</v>
      </c>
      <c r="R62" s="29" t="str">
        <f>VLOOKUP($D62,Lists!$J$1:$AB$29,13,FALSE)</f>
        <v>-</v>
      </c>
      <c r="S62" s="29" t="str">
        <f>VLOOKUP($D62,Lists!$J$1:$AB$29,14,FALSE)</f>
        <v>-</v>
      </c>
      <c r="T62" s="29" t="str">
        <f>VLOOKUP($D62,Lists!$J$1:$AB$29,15,FALSE)</f>
        <v>-</v>
      </c>
      <c r="U62" s="29" t="str">
        <f>VLOOKUP($D62,Lists!$J$1:$AB$29,16,FALSE)</f>
        <v>-</v>
      </c>
      <c r="V62" s="29" t="str">
        <f>VLOOKUP($D62,Lists!$J$1:$AB$29,17,FALSE)</f>
        <v>-</v>
      </c>
      <c r="W62" s="29" t="str">
        <f>VLOOKUP($D62,Lists!$J$1:$AB$29,18,FALSE)</f>
        <v>-</v>
      </c>
      <c r="X62" s="29" t="str">
        <f>VLOOKUP($D62,Lists!$J$1:$AB$29,19,FALSE)</f>
        <v>-</v>
      </c>
      <c r="Y62" s="29" t="str">
        <f>VLOOKUP($D62,Lists!$J$1:$AC$29,20,FALSE)</f>
        <v>-</v>
      </c>
      <c r="Z62" s="32" t="str">
        <f t="shared" si="0"/>
        <v>1</v>
      </c>
    </row>
    <row r="63" spans="1:26" x14ac:dyDescent="0.25">
      <c r="A63" t="s">
        <v>80</v>
      </c>
      <c r="B63" t="s">
        <v>19</v>
      </c>
      <c r="C63" s="16" t="str">
        <f>A63&amp;B63</f>
        <v>PansiesOrange 2</v>
      </c>
      <c r="D63" s="8">
        <v>222</v>
      </c>
      <c r="E63" s="42" t="str">
        <f>A63&amp;D63</f>
        <v>Pansies222</v>
      </c>
      <c r="F63" s="29" t="str">
        <f>VLOOKUP($D63,Lists!$J$1:$AB$29,2,FALSE)</f>
        <v>Rr-Yy-Ss</v>
      </c>
      <c r="G63" t="s">
        <v>97</v>
      </c>
      <c r="H63" s="29" t="str">
        <f>VLOOKUP($D63,Lists!$J$1:$AB$29,3,FALSE)</f>
        <v>RYS</v>
      </c>
      <c r="I63" s="29">
        <f>VLOOKUP($D63,Lists!$J$1:$AB$29,4,FALSE)</f>
        <v>8</v>
      </c>
      <c r="J63" s="29" t="str">
        <f>VLOOKUP($D63,Lists!$J$1:$AB$29,5,FALSE)</f>
        <v>RYS</v>
      </c>
      <c r="K63" s="29">
        <f>VLOOKUP($D63,Lists!$J$1:$AB$29,6,FALSE)</f>
        <v>222</v>
      </c>
      <c r="L63" s="29" t="str">
        <f>VLOOKUP($D63,Lists!$J$1:$AB$29,7,FALSE)</f>
        <v>RyS</v>
      </c>
      <c r="M63" s="29">
        <f>VLOOKUP($D63,Lists!$J$1:$AB$29,8,FALSE)</f>
        <v>212</v>
      </c>
      <c r="N63" s="29" t="str">
        <f>VLOOKUP($D63,Lists!$J$1:$AB$29,9,FALSE)</f>
        <v>RYs</v>
      </c>
      <c r="O63" s="29">
        <f>VLOOKUP($D63,Lists!$J$1:$AB$29,10,FALSE)</f>
        <v>221</v>
      </c>
      <c r="P63" s="29" t="str">
        <f>VLOOKUP($D63,Lists!$J$1:$AB$29,11,FALSE)</f>
        <v>Rys</v>
      </c>
      <c r="Q63" s="29">
        <f>VLOOKUP($D63,Lists!$J$1:$AB$29,12,FALSE)</f>
        <v>211</v>
      </c>
      <c r="R63" s="29" t="str">
        <f>VLOOKUP($D63,Lists!$J$1:$AB$29,13,FALSE)</f>
        <v>rYS</v>
      </c>
      <c r="S63" s="29">
        <f>VLOOKUP($D63,Lists!$J$1:$AB$29,14,FALSE)</f>
        <v>122</v>
      </c>
      <c r="T63" s="29" t="str">
        <f>VLOOKUP($D63,Lists!$J$1:$AB$29,15,FALSE)</f>
        <v>ryS</v>
      </c>
      <c r="U63" s="29">
        <f>VLOOKUP($D63,Lists!$J$1:$AB$29,16,FALSE)</f>
        <v>112</v>
      </c>
      <c r="V63" s="29" t="str">
        <f>VLOOKUP($D63,Lists!$J$1:$AB$29,17,FALSE)</f>
        <v>rYs</v>
      </c>
      <c r="W63" s="29">
        <f>VLOOKUP($D63,Lists!$J$1:$AB$29,18,FALSE)</f>
        <v>121</v>
      </c>
      <c r="X63" s="29" t="str">
        <f>VLOOKUP($D63,Lists!$J$1:$AB$29,19,FALSE)</f>
        <v>rys</v>
      </c>
      <c r="Y63" s="29">
        <f>VLOOKUP($D63,Lists!$J$1:$AC$29,20,FALSE)</f>
        <v>111</v>
      </c>
      <c r="Z63" s="32" t="str">
        <f t="shared" si="0"/>
        <v>2</v>
      </c>
    </row>
    <row r="64" spans="1:26" x14ac:dyDescent="0.25">
      <c r="A64" t="s">
        <v>80</v>
      </c>
      <c r="B64" t="s">
        <v>63</v>
      </c>
      <c r="C64" s="16" t="str">
        <f>A64&amp;B64</f>
        <v>PansiesOrange 3</v>
      </c>
      <c r="D64" s="8">
        <v>223</v>
      </c>
      <c r="E64" s="42" t="str">
        <f>A64&amp;D64</f>
        <v>Pansies223</v>
      </c>
      <c r="F64" s="29" t="str">
        <f>VLOOKUP($D64,Lists!$J$1:$AB$29,2,FALSE)</f>
        <v>Rr-Yy-SS</v>
      </c>
      <c r="G64" t="s">
        <v>97</v>
      </c>
      <c r="H64" s="29" t="str">
        <f>VLOOKUP($D64,Lists!$J$1:$AB$29,3,FALSE)</f>
        <v>RY</v>
      </c>
      <c r="I64" s="29">
        <f>VLOOKUP($D64,Lists!$J$1:$AB$29,4,FALSE)</f>
        <v>4</v>
      </c>
      <c r="J64" s="29" t="str">
        <f>VLOOKUP($D64,Lists!$J$1:$AB$29,5,FALSE)</f>
        <v>RYS</v>
      </c>
      <c r="K64" s="29">
        <f>VLOOKUP($D64,Lists!$J$1:$AB$29,6,FALSE)</f>
        <v>222</v>
      </c>
      <c r="L64" s="29" t="str">
        <f>VLOOKUP($D64,Lists!$J$1:$AB$29,7,FALSE)</f>
        <v>RyS</v>
      </c>
      <c r="M64" s="29">
        <f>VLOOKUP($D64,Lists!$J$1:$AB$29,8,FALSE)</f>
        <v>212</v>
      </c>
      <c r="N64" s="29" t="str">
        <f>VLOOKUP($D64,Lists!$J$1:$AB$29,9,FALSE)</f>
        <v>rYS</v>
      </c>
      <c r="O64" s="29">
        <f>VLOOKUP($D64,Lists!$J$1:$AB$29,10,FALSE)</f>
        <v>122</v>
      </c>
      <c r="P64" s="29" t="str">
        <f>VLOOKUP($D64,Lists!$J$1:$AB$29,11,FALSE)</f>
        <v>ryS</v>
      </c>
      <c r="Q64" s="29">
        <f>VLOOKUP($D64,Lists!$J$1:$AB$29,12,FALSE)</f>
        <v>112</v>
      </c>
      <c r="R64" s="29" t="str">
        <f>VLOOKUP($D64,Lists!$J$1:$AB$29,13,FALSE)</f>
        <v>-</v>
      </c>
      <c r="S64" s="29" t="str">
        <f>VLOOKUP($D64,Lists!$J$1:$AB$29,14,FALSE)</f>
        <v>-</v>
      </c>
      <c r="T64" s="29" t="str">
        <f>VLOOKUP($D64,Lists!$J$1:$AB$29,15,FALSE)</f>
        <v>-</v>
      </c>
      <c r="U64" s="29" t="str">
        <f>VLOOKUP($D64,Lists!$J$1:$AB$29,16,FALSE)</f>
        <v>-</v>
      </c>
      <c r="V64" s="29" t="str">
        <f>VLOOKUP($D64,Lists!$J$1:$AB$29,17,FALSE)</f>
        <v>-</v>
      </c>
      <c r="W64" s="29" t="str">
        <f>VLOOKUP($D64,Lists!$J$1:$AB$29,18,FALSE)</f>
        <v>-</v>
      </c>
      <c r="X64" s="29" t="str">
        <f>VLOOKUP($D64,Lists!$J$1:$AB$29,19,FALSE)</f>
        <v>-</v>
      </c>
      <c r="Y64" s="29" t="str">
        <f>VLOOKUP($D64,Lists!$J$1:$AC$29,20,FALSE)</f>
        <v>-</v>
      </c>
      <c r="Z64" s="32" t="str">
        <f t="shared" si="0"/>
        <v>3</v>
      </c>
    </row>
    <row r="65" spans="1:26" x14ac:dyDescent="0.25">
      <c r="A65" t="s">
        <v>80</v>
      </c>
      <c r="B65" t="s">
        <v>62</v>
      </c>
      <c r="C65" s="16" t="str">
        <f>A65&amp;B65</f>
        <v>PansiesOrange 4</v>
      </c>
      <c r="D65" s="8">
        <v>331</v>
      </c>
      <c r="E65" s="42" t="str">
        <f>A65&amp;D65</f>
        <v>Pansies331</v>
      </c>
      <c r="F65" s="29" t="str">
        <f>VLOOKUP($D65,Lists!$J$1:$AB$29,2,FALSE)</f>
        <v>RR-YY-ss</v>
      </c>
      <c r="G65" t="s">
        <v>97</v>
      </c>
      <c r="H65" s="29" t="str">
        <f>VLOOKUP($D65,Lists!$J$1:$AB$29,3,FALSE)</f>
        <v>-</v>
      </c>
      <c r="I65" s="29">
        <f>VLOOKUP($D65,Lists!$J$1:$AB$29,4,FALSE)</f>
        <v>1</v>
      </c>
      <c r="J65" s="29" t="str">
        <f>VLOOKUP($D65,Lists!$J$1:$AB$29,5,FALSE)</f>
        <v>RYs</v>
      </c>
      <c r="K65" s="29">
        <f>VLOOKUP($D65,Lists!$J$1:$AB$29,6,FALSE)</f>
        <v>221</v>
      </c>
      <c r="L65" s="29" t="str">
        <f>VLOOKUP($D65,Lists!$J$1:$AB$29,7,FALSE)</f>
        <v>-</v>
      </c>
      <c r="M65" s="29" t="str">
        <f>VLOOKUP($D65,Lists!$J$1:$AB$29,8,FALSE)</f>
        <v>-</v>
      </c>
      <c r="N65" s="29" t="str">
        <f>VLOOKUP($D65,Lists!$J$1:$AB$29,9,FALSE)</f>
        <v>-</v>
      </c>
      <c r="O65" s="29" t="str">
        <f>VLOOKUP($D65,Lists!$J$1:$AB$29,10,FALSE)</f>
        <v>-</v>
      </c>
      <c r="P65" s="29" t="str">
        <f>VLOOKUP($D65,Lists!$J$1:$AB$29,11,FALSE)</f>
        <v>-</v>
      </c>
      <c r="Q65" s="29" t="str">
        <f>VLOOKUP($D65,Lists!$J$1:$AB$29,12,FALSE)</f>
        <v>-</v>
      </c>
      <c r="R65" s="29" t="str">
        <f>VLOOKUP($D65,Lists!$J$1:$AB$29,13,FALSE)</f>
        <v>-</v>
      </c>
      <c r="S65" s="29" t="str">
        <f>VLOOKUP($D65,Lists!$J$1:$AB$29,14,FALSE)</f>
        <v>-</v>
      </c>
      <c r="T65" s="29" t="str">
        <f>VLOOKUP($D65,Lists!$J$1:$AB$29,15,FALSE)</f>
        <v>-</v>
      </c>
      <c r="U65" s="29" t="str">
        <f>VLOOKUP($D65,Lists!$J$1:$AB$29,16,FALSE)</f>
        <v>-</v>
      </c>
      <c r="V65" s="29" t="str">
        <f>VLOOKUP($D65,Lists!$J$1:$AB$29,17,FALSE)</f>
        <v>-</v>
      </c>
      <c r="W65" s="29" t="str">
        <f>VLOOKUP($D65,Lists!$J$1:$AB$29,18,FALSE)</f>
        <v>-</v>
      </c>
      <c r="X65" s="29" t="str">
        <f>VLOOKUP($D65,Lists!$J$1:$AB$29,19,FALSE)</f>
        <v>-</v>
      </c>
      <c r="Y65" s="29" t="str">
        <f>VLOOKUP($D65,Lists!$J$1:$AC$29,20,FALSE)</f>
        <v>-</v>
      </c>
      <c r="Z65" s="32" t="str">
        <f t="shared" si="0"/>
        <v>4</v>
      </c>
    </row>
    <row r="66" spans="1:26" x14ac:dyDescent="0.25">
      <c r="A66" t="s">
        <v>80</v>
      </c>
      <c r="B66" t="s">
        <v>61</v>
      </c>
      <c r="C66" s="16" t="str">
        <f>A66&amp;B66</f>
        <v>PansiesOrange 5</v>
      </c>
      <c r="D66" s="8">
        <v>332</v>
      </c>
      <c r="E66" s="42" t="str">
        <f>A66&amp;D66</f>
        <v>Pansies332</v>
      </c>
      <c r="F66" s="29" t="str">
        <f>VLOOKUP($D66,Lists!$J$1:$AB$29,2,FALSE)</f>
        <v>RR-YY-Ss</v>
      </c>
      <c r="G66" t="s">
        <v>97</v>
      </c>
      <c r="H66" s="29" t="str">
        <f>VLOOKUP($D66,Lists!$J$1:$AB$29,3,FALSE)</f>
        <v>S</v>
      </c>
      <c r="I66" s="29">
        <f>VLOOKUP($D66,Lists!$J$1:$AB$29,4,FALSE)</f>
        <v>2</v>
      </c>
      <c r="J66" s="29" t="str">
        <f>VLOOKUP($D66,Lists!$J$1:$AB$29,5,FALSE)</f>
        <v>RYS</v>
      </c>
      <c r="K66" s="29">
        <f>VLOOKUP($D66,Lists!$J$1:$AB$29,6,FALSE)</f>
        <v>222</v>
      </c>
      <c r="L66" s="29" t="str">
        <f>VLOOKUP($D66,Lists!$J$1:$AB$29,7,FALSE)</f>
        <v>Rys</v>
      </c>
      <c r="M66" s="29">
        <f>VLOOKUP($D66,Lists!$J$1:$AB$29,8,FALSE)</f>
        <v>211</v>
      </c>
      <c r="N66" s="29" t="str">
        <f>VLOOKUP($D66,Lists!$J$1:$AB$29,9,FALSE)</f>
        <v>-</v>
      </c>
      <c r="O66" s="29" t="str">
        <f>VLOOKUP($D66,Lists!$J$1:$AB$29,10,FALSE)</f>
        <v>-</v>
      </c>
      <c r="P66" s="29" t="str">
        <f>VLOOKUP($D66,Lists!$J$1:$AB$29,11,FALSE)</f>
        <v>-</v>
      </c>
      <c r="Q66" s="29" t="str">
        <f>VLOOKUP($D66,Lists!$J$1:$AB$29,12,FALSE)</f>
        <v>-</v>
      </c>
      <c r="R66" s="29" t="str">
        <f>VLOOKUP($D66,Lists!$J$1:$AB$29,13,FALSE)</f>
        <v>-</v>
      </c>
      <c r="S66" s="29" t="str">
        <f>VLOOKUP($D66,Lists!$J$1:$AB$29,14,FALSE)</f>
        <v>-</v>
      </c>
      <c r="T66" s="29" t="str">
        <f>VLOOKUP($D66,Lists!$J$1:$AB$29,15,FALSE)</f>
        <v>-</v>
      </c>
      <c r="U66" s="29" t="str">
        <f>VLOOKUP($D66,Lists!$J$1:$AB$29,16,FALSE)</f>
        <v>-</v>
      </c>
      <c r="V66" s="29" t="str">
        <f>VLOOKUP($D66,Lists!$J$1:$AB$29,17,FALSE)</f>
        <v>-</v>
      </c>
      <c r="W66" s="29" t="str">
        <f>VLOOKUP($D66,Lists!$J$1:$AB$29,18,FALSE)</f>
        <v>-</v>
      </c>
      <c r="X66" s="29" t="str">
        <f>VLOOKUP($D66,Lists!$J$1:$AB$29,19,FALSE)</f>
        <v>-</v>
      </c>
      <c r="Y66" s="29" t="str">
        <f>VLOOKUP($D66,Lists!$J$1:$AC$29,20,FALSE)</f>
        <v>-</v>
      </c>
      <c r="Z66" s="32" t="str">
        <f t="shared" si="0"/>
        <v>5</v>
      </c>
    </row>
    <row r="67" spans="1:26" x14ac:dyDescent="0.25">
      <c r="A67" t="s">
        <v>80</v>
      </c>
      <c r="B67" t="s">
        <v>106</v>
      </c>
      <c r="C67" s="16" t="str">
        <f>A67&amp;B67</f>
        <v>PansiesPurple 1</v>
      </c>
      <c r="D67" s="8">
        <v>313</v>
      </c>
      <c r="E67" s="42" t="str">
        <f>A67&amp;D67</f>
        <v>Pansies313</v>
      </c>
      <c r="F67" s="29" t="str">
        <f>VLOOKUP($D67,Lists!$J$1:$AB$29,2,FALSE)</f>
        <v>RR-yy-SS</v>
      </c>
      <c r="G67" t="s">
        <v>112</v>
      </c>
      <c r="H67" s="29" t="str">
        <f>VLOOKUP($D67,Lists!$J$1:$AB$29,3,FALSE)</f>
        <v>-</v>
      </c>
      <c r="I67" s="29">
        <f>VLOOKUP($D67,Lists!$J$1:$AB$29,4,FALSE)</f>
        <v>1</v>
      </c>
      <c r="J67" s="29" t="str">
        <f>VLOOKUP($D67,Lists!$J$1:$AB$29,5,FALSE)</f>
        <v>RyS</v>
      </c>
      <c r="K67" s="29">
        <f>VLOOKUP($D67,Lists!$J$1:$AB$29,6,FALSE)</f>
        <v>212</v>
      </c>
      <c r="L67" s="29" t="str">
        <f>VLOOKUP($D67,Lists!$J$1:$AB$29,7,FALSE)</f>
        <v>-</v>
      </c>
      <c r="M67" s="29" t="str">
        <f>VLOOKUP($D67,Lists!$J$1:$AB$29,8,FALSE)</f>
        <v>-</v>
      </c>
      <c r="N67" s="29" t="str">
        <f>VLOOKUP($D67,Lists!$J$1:$AB$29,9,FALSE)</f>
        <v>-</v>
      </c>
      <c r="O67" s="29" t="str">
        <f>VLOOKUP($D67,Lists!$J$1:$AB$29,10,FALSE)</f>
        <v>-</v>
      </c>
      <c r="P67" s="29" t="str">
        <f>VLOOKUP($D67,Lists!$J$1:$AB$29,11,FALSE)</f>
        <v>-</v>
      </c>
      <c r="Q67" s="29" t="str">
        <f>VLOOKUP($D67,Lists!$J$1:$AB$29,12,FALSE)</f>
        <v>-</v>
      </c>
      <c r="R67" s="29" t="str">
        <f>VLOOKUP($D67,Lists!$J$1:$AB$29,13,FALSE)</f>
        <v>-</v>
      </c>
      <c r="S67" s="29" t="str">
        <f>VLOOKUP($D67,Lists!$J$1:$AB$29,14,FALSE)</f>
        <v>-</v>
      </c>
      <c r="T67" s="29" t="str">
        <f>VLOOKUP($D67,Lists!$J$1:$AB$29,15,FALSE)</f>
        <v>-</v>
      </c>
      <c r="U67" s="29" t="str">
        <f>VLOOKUP($D67,Lists!$J$1:$AB$29,16,FALSE)</f>
        <v>-</v>
      </c>
      <c r="V67" s="29" t="str">
        <f>VLOOKUP($D67,Lists!$J$1:$AB$29,17,FALSE)</f>
        <v>-</v>
      </c>
      <c r="W67" s="29" t="str">
        <f>VLOOKUP($D67,Lists!$J$1:$AB$29,18,FALSE)</f>
        <v>-</v>
      </c>
      <c r="X67" s="29" t="str">
        <f>VLOOKUP($D67,Lists!$J$1:$AB$29,19,FALSE)</f>
        <v>-</v>
      </c>
      <c r="Y67" s="29" t="str">
        <f>VLOOKUP($D67,Lists!$J$1:$AC$29,20,FALSE)</f>
        <v>-</v>
      </c>
      <c r="Z67" s="32" t="str">
        <f t="shared" ref="Z67:Z130" si="1">RIGHT(B67,1)</f>
        <v>1</v>
      </c>
    </row>
    <row r="68" spans="1:26" x14ac:dyDescent="0.25">
      <c r="A68" t="s">
        <v>80</v>
      </c>
      <c r="B68" t="s">
        <v>107</v>
      </c>
      <c r="C68" s="16" t="str">
        <f>A68&amp;B68</f>
        <v>PansiesPurple 2</v>
      </c>
      <c r="D68" s="8">
        <v>323</v>
      </c>
      <c r="E68" s="42" t="str">
        <f>A68&amp;D68</f>
        <v>Pansies323</v>
      </c>
      <c r="F68" s="29" t="str">
        <f>VLOOKUP($D68,Lists!$J$1:$AB$29,2,FALSE)</f>
        <v>RR-Yy-SS</v>
      </c>
      <c r="G68" t="s">
        <v>112</v>
      </c>
      <c r="H68" s="29" t="str">
        <f>VLOOKUP($D68,Lists!$J$1:$AB$29,3,FALSE)</f>
        <v>Y</v>
      </c>
      <c r="I68" s="29">
        <f>VLOOKUP($D68,Lists!$J$1:$AB$29,4,FALSE)</f>
        <v>2</v>
      </c>
      <c r="J68" s="29" t="str">
        <f>VLOOKUP($D68,Lists!$J$1:$AB$29,5,FALSE)</f>
        <v>RYS</v>
      </c>
      <c r="K68" s="29">
        <f>VLOOKUP($D68,Lists!$J$1:$AB$29,6,FALSE)</f>
        <v>222</v>
      </c>
      <c r="L68" s="29" t="str">
        <f>VLOOKUP($D68,Lists!$J$1:$AB$29,7,FALSE)</f>
        <v>RyS</v>
      </c>
      <c r="M68" s="29">
        <f>VLOOKUP($D68,Lists!$J$1:$AB$29,8,FALSE)</f>
        <v>212</v>
      </c>
      <c r="N68" s="29" t="str">
        <f>VLOOKUP($D68,Lists!$J$1:$AB$29,9,FALSE)</f>
        <v>-</v>
      </c>
      <c r="O68" s="29" t="str">
        <f>VLOOKUP($D68,Lists!$J$1:$AB$29,10,FALSE)</f>
        <v>-</v>
      </c>
      <c r="P68" s="29" t="str">
        <f>VLOOKUP($D68,Lists!$J$1:$AB$29,11,FALSE)</f>
        <v>-</v>
      </c>
      <c r="Q68" s="29" t="str">
        <f>VLOOKUP($D68,Lists!$J$1:$AB$29,12,FALSE)</f>
        <v>-</v>
      </c>
      <c r="R68" s="29" t="str">
        <f>VLOOKUP($D68,Lists!$J$1:$AB$29,13,FALSE)</f>
        <v>-</v>
      </c>
      <c r="S68" s="29" t="str">
        <f>VLOOKUP($D68,Lists!$J$1:$AB$29,14,FALSE)</f>
        <v>-</v>
      </c>
      <c r="T68" s="29" t="str">
        <f>VLOOKUP($D68,Lists!$J$1:$AB$29,15,FALSE)</f>
        <v>-</v>
      </c>
      <c r="U68" s="29" t="str">
        <f>VLOOKUP($D68,Lists!$J$1:$AB$29,16,FALSE)</f>
        <v>-</v>
      </c>
      <c r="V68" s="29" t="str">
        <f>VLOOKUP($D68,Lists!$J$1:$AB$29,17,FALSE)</f>
        <v>-</v>
      </c>
      <c r="W68" s="29" t="str">
        <f>VLOOKUP($D68,Lists!$J$1:$AB$29,18,FALSE)</f>
        <v>-</v>
      </c>
      <c r="X68" s="29" t="str">
        <f>VLOOKUP($D68,Lists!$J$1:$AB$29,19,FALSE)</f>
        <v>-</v>
      </c>
      <c r="Y68" s="29" t="str">
        <f>VLOOKUP($D68,Lists!$J$1:$AC$29,20,FALSE)</f>
        <v>-</v>
      </c>
      <c r="Z68" s="32" t="str">
        <f t="shared" si="1"/>
        <v>2</v>
      </c>
    </row>
    <row r="69" spans="1:26" x14ac:dyDescent="0.25">
      <c r="A69" t="s">
        <v>80</v>
      </c>
      <c r="B69" t="s">
        <v>108</v>
      </c>
      <c r="C69" s="16" t="str">
        <f>A69&amp;B69</f>
        <v>PansiesPurple 3</v>
      </c>
      <c r="D69" s="8">
        <v>333</v>
      </c>
      <c r="E69" s="42" t="str">
        <f>A69&amp;D69</f>
        <v>Pansies333</v>
      </c>
      <c r="F69" s="29" t="str">
        <f>VLOOKUP($D69,Lists!$J$1:$AB$29,2,FALSE)</f>
        <v>RR-YY-SS</v>
      </c>
      <c r="G69" t="s">
        <v>112</v>
      </c>
      <c r="H69" s="29" t="str">
        <f>VLOOKUP($D69,Lists!$J$1:$AB$29,3,FALSE)</f>
        <v>-</v>
      </c>
      <c r="I69" s="29">
        <f>VLOOKUP($D69,Lists!$J$1:$AB$29,4,FALSE)</f>
        <v>1</v>
      </c>
      <c r="J69" s="29" t="str">
        <f>VLOOKUP($D69,Lists!$J$1:$AB$29,5,FALSE)</f>
        <v>RYS</v>
      </c>
      <c r="K69" s="29">
        <f>VLOOKUP($D69,Lists!$J$1:$AB$29,6,FALSE)</f>
        <v>222</v>
      </c>
      <c r="L69" s="29" t="str">
        <f>VLOOKUP($D69,Lists!$J$1:$AB$29,7,FALSE)</f>
        <v>-</v>
      </c>
      <c r="M69" s="29" t="str">
        <f>VLOOKUP($D69,Lists!$J$1:$AB$29,8,FALSE)</f>
        <v>-</v>
      </c>
      <c r="N69" s="29" t="str">
        <f>VLOOKUP($D69,Lists!$J$1:$AB$29,9,FALSE)</f>
        <v>-</v>
      </c>
      <c r="O69" s="29" t="str">
        <f>VLOOKUP($D69,Lists!$J$1:$AB$29,10,FALSE)</f>
        <v>-</v>
      </c>
      <c r="P69" s="29" t="str">
        <f>VLOOKUP($D69,Lists!$J$1:$AB$29,11,FALSE)</f>
        <v>-</v>
      </c>
      <c r="Q69" s="29" t="str">
        <f>VLOOKUP($D69,Lists!$J$1:$AB$29,12,FALSE)</f>
        <v>-</v>
      </c>
      <c r="R69" s="29" t="str">
        <f>VLOOKUP($D69,Lists!$J$1:$AB$29,13,FALSE)</f>
        <v>-</v>
      </c>
      <c r="S69" s="29" t="str">
        <f>VLOOKUP($D69,Lists!$J$1:$AB$29,14,FALSE)</f>
        <v>-</v>
      </c>
      <c r="T69" s="29" t="str">
        <f>VLOOKUP($D69,Lists!$J$1:$AB$29,15,FALSE)</f>
        <v>-</v>
      </c>
      <c r="U69" s="29" t="str">
        <f>VLOOKUP($D69,Lists!$J$1:$AB$29,16,FALSE)</f>
        <v>-</v>
      </c>
      <c r="V69" s="29" t="str">
        <f>VLOOKUP($D69,Lists!$J$1:$AB$29,17,FALSE)</f>
        <v>-</v>
      </c>
      <c r="W69" s="29" t="str">
        <f>VLOOKUP($D69,Lists!$J$1:$AB$29,18,FALSE)</f>
        <v>-</v>
      </c>
      <c r="X69" s="29" t="str">
        <f>VLOOKUP($D69,Lists!$J$1:$AB$29,19,FALSE)</f>
        <v>-</v>
      </c>
      <c r="Y69" s="29" t="str">
        <f>VLOOKUP($D69,Lists!$J$1:$AC$29,20,FALSE)</f>
        <v>-</v>
      </c>
      <c r="Z69" s="32" t="str">
        <f t="shared" si="1"/>
        <v>3</v>
      </c>
    </row>
    <row r="70" spans="1:26" x14ac:dyDescent="0.25">
      <c r="A70" t="s">
        <v>80</v>
      </c>
      <c r="B70" t="s">
        <v>87</v>
      </c>
      <c r="C70" s="16" t="str">
        <f>A70&amp;B70</f>
        <v>PansiesRed 2</v>
      </c>
      <c r="D70" s="8">
        <v>211</v>
      </c>
      <c r="E70" s="42" t="str">
        <f>A70&amp;D70</f>
        <v>Pansies211</v>
      </c>
      <c r="F70" s="29" t="str">
        <f>VLOOKUP($D70,Lists!$J$1:$AB$29,2,FALSE)</f>
        <v>Rr-yy-ss</v>
      </c>
      <c r="G70" t="s">
        <v>94</v>
      </c>
      <c r="H70" s="29" t="str">
        <f>VLOOKUP($D70,Lists!$J$1:$AB$29,3,FALSE)</f>
        <v>R</v>
      </c>
      <c r="I70" s="29">
        <f>VLOOKUP($D70,Lists!$J$1:$AB$29,4,FALSE)</f>
        <v>2</v>
      </c>
      <c r="J70" s="29" t="str">
        <f>VLOOKUP($D70,Lists!$J$1:$AB$29,5,FALSE)</f>
        <v>Rys</v>
      </c>
      <c r="K70" s="29">
        <f>VLOOKUP($D70,Lists!$J$1:$AB$29,6,FALSE)</f>
        <v>211</v>
      </c>
      <c r="L70" s="29" t="str">
        <f>VLOOKUP($D70,Lists!$J$1:$AB$29,7,FALSE)</f>
        <v xml:space="preserve">rys </v>
      </c>
      <c r="M70" s="29">
        <f>VLOOKUP($D70,Lists!$J$1:$AB$29,8,FALSE)</f>
        <v>111</v>
      </c>
      <c r="N70" s="29" t="str">
        <f>VLOOKUP($D70,Lists!$J$1:$AB$29,9,FALSE)</f>
        <v>-</v>
      </c>
      <c r="O70" s="29" t="str">
        <f>VLOOKUP($D70,Lists!$J$1:$AB$29,10,FALSE)</f>
        <v>-</v>
      </c>
      <c r="P70" s="29" t="str">
        <f>VLOOKUP($D70,Lists!$J$1:$AB$29,11,FALSE)</f>
        <v>-</v>
      </c>
      <c r="Q70" s="29" t="str">
        <f>VLOOKUP($D70,Lists!$J$1:$AB$29,12,FALSE)</f>
        <v>-</v>
      </c>
      <c r="R70" s="29" t="str">
        <f>VLOOKUP($D70,Lists!$J$1:$AB$29,13,FALSE)</f>
        <v>-</v>
      </c>
      <c r="S70" s="29" t="str">
        <f>VLOOKUP($D70,Lists!$J$1:$AB$29,14,FALSE)</f>
        <v>-</v>
      </c>
      <c r="T70" s="29" t="str">
        <f>VLOOKUP($D70,Lists!$J$1:$AB$29,15,FALSE)</f>
        <v>-</v>
      </c>
      <c r="U70" s="29" t="str">
        <f>VLOOKUP($D70,Lists!$J$1:$AB$29,16,FALSE)</f>
        <v>-</v>
      </c>
      <c r="V70" s="29" t="str">
        <f>VLOOKUP($D70,Lists!$J$1:$AB$29,17,FALSE)</f>
        <v>-</v>
      </c>
      <c r="W70" s="29" t="str">
        <f>VLOOKUP($D70,Lists!$J$1:$AB$29,18,FALSE)</f>
        <v>-</v>
      </c>
      <c r="X70" s="29" t="str">
        <f>VLOOKUP($D70,Lists!$J$1:$AB$29,19,FALSE)</f>
        <v>-</v>
      </c>
      <c r="Y70" s="29" t="str">
        <f>VLOOKUP($D70,Lists!$J$1:$AC$29,20,FALSE)</f>
        <v>-</v>
      </c>
      <c r="Z70" s="32" t="str">
        <f t="shared" si="1"/>
        <v>2</v>
      </c>
    </row>
    <row r="71" spans="1:26" x14ac:dyDescent="0.25">
      <c r="A71" t="s">
        <v>80</v>
      </c>
      <c r="B71" t="s">
        <v>58</v>
      </c>
      <c r="C71" s="16" t="str">
        <f>A71&amp;B71</f>
        <v>PansiesRed 3</v>
      </c>
      <c r="D71" s="8">
        <v>212</v>
      </c>
      <c r="E71" s="42" t="str">
        <f>A71&amp;D71</f>
        <v>Pansies212</v>
      </c>
      <c r="F71" s="29" t="str">
        <f>VLOOKUP($D71,Lists!$J$1:$AB$29,2,FALSE)</f>
        <v>Rr-yy-Ss</v>
      </c>
      <c r="G71" t="s">
        <v>94</v>
      </c>
      <c r="H71" s="29" t="str">
        <f>VLOOKUP($D71,Lists!$J$1:$AB$29,3,FALSE)</f>
        <v>RS</v>
      </c>
      <c r="I71" s="29">
        <f>VLOOKUP($D71,Lists!$J$1:$AB$29,4,FALSE)</f>
        <v>4</v>
      </c>
      <c r="J71" s="29" t="str">
        <f>VLOOKUP($D71,Lists!$J$1:$AB$29,5,FALSE)</f>
        <v>RyS</v>
      </c>
      <c r="K71" s="29">
        <f>VLOOKUP($D71,Lists!$J$1:$AB$29,6,FALSE)</f>
        <v>212</v>
      </c>
      <c r="L71" s="29" t="str">
        <f>VLOOKUP($D71,Lists!$J$1:$AB$29,7,FALSE)</f>
        <v>Rys</v>
      </c>
      <c r="M71" s="29">
        <f>VLOOKUP($D71,Lists!$J$1:$AB$29,8,FALSE)</f>
        <v>211</v>
      </c>
      <c r="N71" s="29" t="str">
        <f>VLOOKUP($D71,Lists!$J$1:$AB$29,9,FALSE)</f>
        <v>ryS</v>
      </c>
      <c r="O71" s="29">
        <f>VLOOKUP($D71,Lists!$J$1:$AB$29,10,FALSE)</f>
        <v>112</v>
      </c>
      <c r="P71" s="29" t="str">
        <f>VLOOKUP($D71,Lists!$J$1:$AB$29,11,FALSE)</f>
        <v>rys</v>
      </c>
      <c r="Q71" s="29">
        <f>VLOOKUP($D71,Lists!$J$1:$AB$29,12,FALSE)</f>
        <v>111</v>
      </c>
      <c r="R71" s="29" t="str">
        <f>VLOOKUP($D71,Lists!$J$1:$AB$29,13,FALSE)</f>
        <v>-</v>
      </c>
      <c r="S71" s="29" t="str">
        <f>VLOOKUP($D71,Lists!$J$1:$AB$29,14,FALSE)</f>
        <v>-</v>
      </c>
      <c r="T71" s="29" t="str">
        <f>VLOOKUP($D71,Lists!$J$1:$AB$29,15,FALSE)</f>
        <v>-</v>
      </c>
      <c r="U71" s="29" t="str">
        <f>VLOOKUP($D71,Lists!$J$1:$AB$29,16,FALSE)</f>
        <v>-</v>
      </c>
      <c r="V71" s="29" t="str">
        <f>VLOOKUP($D71,Lists!$J$1:$AB$29,17,FALSE)</f>
        <v>-</v>
      </c>
      <c r="W71" s="29" t="str">
        <f>VLOOKUP($D71,Lists!$J$1:$AB$29,18,FALSE)</f>
        <v>-</v>
      </c>
      <c r="X71" s="29" t="str">
        <f>VLOOKUP($D71,Lists!$J$1:$AB$29,19,FALSE)</f>
        <v>-</v>
      </c>
      <c r="Y71" s="29" t="str">
        <f>VLOOKUP($D71,Lists!$J$1:$AC$29,20,FALSE)</f>
        <v>-</v>
      </c>
      <c r="Z71" s="32" t="str">
        <f t="shared" si="1"/>
        <v>3</v>
      </c>
    </row>
    <row r="72" spans="1:26" x14ac:dyDescent="0.25">
      <c r="A72" t="s">
        <v>80</v>
      </c>
      <c r="B72" t="s">
        <v>57</v>
      </c>
      <c r="C72" s="16" t="str">
        <f>A72&amp;B72</f>
        <v>PansiesRed 4</v>
      </c>
      <c r="D72" s="8">
        <v>312</v>
      </c>
      <c r="E72" s="42" t="str">
        <f>A72&amp;D72</f>
        <v>Pansies312</v>
      </c>
      <c r="F72" s="29" t="str">
        <f>VLOOKUP($D72,Lists!$J$1:$AB$29,2,FALSE)</f>
        <v>RR-yy-Ss</v>
      </c>
      <c r="G72" t="s">
        <v>94</v>
      </c>
      <c r="H72" s="29" t="str">
        <f>VLOOKUP($D72,Lists!$J$1:$AB$29,3,FALSE)</f>
        <v>S</v>
      </c>
      <c r="I72" s="29">
        <f>VLOOKUP($D72,Lists!$J$1:$AB$29,4,FALSE)</f>
        <v>2</v>
      </c>
      <c r="J72" s="29" t="str">
        <f>VLOOKUP($D72,Lists!$J$1:$AB$29,5,FALSE)</f>
        <v>RyS</v>
      </c>
      <c r="K72" s="29">
        <f>VLOOKUP($D72,Lists!$J$1:$AB$29,6,FALSE)</f>
        <v>212</v>
      </c>
      <c r="L72" s="29" t="str">
        <f>VLOOKUP($D72,Lists!$J$1:$AB$29,7,FALSE)</f>
        <v>Rys</v>
      </c>
      <c r="M72" s="29">
        <f>VLOOKUP($D72,Lists!$J$1:$AB$29,8,FALSE)</f>
        <v>211</v>
      </c>
      <c r="N72" s="29" t="str">
        <f>VLOOKUP($D72,Lists!$J$1:$AB$29,9,FALSE)</f>
        <v>-</v>
      </c>
      <c r="O72" s="29" t="str">
        <f>VLOOKUP($D72,Lists!$J$1:$AB$29,10,FALSE)</f>
        <v>-</v>
      </c>
      <c r="P72" s="29" t="str">
        <f>VLOOKUP($D72,Lists!$J$1:$AB$29,11,FALSE)</f>
        <v>-</v>
      </c>
      <c r="Q72" s="29" t="str">
        <f>VLOOKUP($D72,Lists!$J$1:$AB$29,12,FALSE)</f>
        <v>-</v>
      </c>
      <c r="R72" s="29" t="str">
        <f>VLOOKUP($D72,Lists!$J$1:$AB$29,13,FALSE)</f>
        <v>-</v>
      </c>
      <c r="S72" s="29" t="str">
        <f>VLOOKUP($D72,Lists!$J$1:$AB$29,14,FALSE)</f>
        <v>-</v>
      </c>
      <c r="T72" s="29" t="str">
        <f>VLOOKUP($D72,Lists!$J$1:$AB$29,15,FALSE)</f>
        <v>-</v>
      </c>
      <c r="U72" s="29" t="str">
        <f>VLOOKUP($D72,Lists!$J$1:$AB$29,16,FALSE)</f>
        <v>-</v>
      </c>
      <c r="V72" s="29" t="str">
        <f>VLOOKUP($D72,Lists!$J$1:$AB$29,17,FALSE)</f>
        <v>-</v>
      </c>
      <c r="W72" s="29" t="str">
        <f>VLOOKUP($D72,Lists!$J$1:$AB$29,18,FALSE)</f>
        <v>-</v>
      </c>
      <c r="X72" s="29" t="str">
        <f>VLOOKUP($D72,Lists!$J$1:$AB$29,19,FALSE)</f>
        <v>-</v>
      </c>
      <c r="Y72" s="29" t="str">
        <f>VLOOKUP($D72,Lists!$J$1:$AC$29,20,FALSE)</f>
        <v>-</v>
      </c>
      <c r="Z72" s="32" t="str">
        <f t="shared" si="1"/>
        <v>4</v>
      </c>
    </row>
    <row r="73" spans="1:26" x14ac:dyDescent="0.25">
      <c r="A73" t="s">
        <v>80</v>
      </c>
      <c r="B73" t="s">
        <v>59</v>
      </c>
      <c r="C73" s="16" t="str">
        <f>A73&amp;B73</f>
        <v>PansiesRed 5</v>
      </c>
      <c r="D73" s="8">
        <v>321</v>
      </c>
      <c r="E73" s="42" t="str">
        <f>A73&amp;D73</f>
        <v>Pansies321</v>
      </c>
      <c r="F73" s="29" t="str">
        <f>VLOOKUP($D73,Lists!$J$1:$AB$29,2,FALSE)</f>
        <v>RR-Yy-ss</v>
      </c>
      <c r="G73" t="s">
        <v>94</v>
      </c>
      <c r="H73" s="29" t="str">
        <f>VLOOKUP($D73,Lists!$J$1:$AB$29,3,FALSE)</f>
        <v>Y</v>
      </c>
      <c r="I73" s="29">
        <f>VLOOKUP($D73,Lists!$J$1:$AB$29,4,FALSE)</f>
        <v>2</v>
      </c>
      <c r="J73" s="29" t="str">
        <f>VLOOKUP($D73,Lists!$J$1:$AB$29,5,FALSE)</f>
        <v>RYs</v>
      </c>
      <c r="K73" s="29">
        <f>VLOOKUP($D73,Lists!$J$1:$AB$29,6,FALSE)</f>
        <v>221</v>
      </c>
      <c r="L73" s="29" t="str">
        <f>VLOOKUP($D73,Lists!$J$1:$AB$29,7,FALSE)</f>
        <v>Rys</v>
      </c>
      <c r="M73" s="29">
        <f>VLOOKUP($D73,Lists!$J$1:$AB$29,8,FALSE)</f>
        <v>211</v>
      </c>
      <c r="N73" s="29" t="str">
        <f>VLOOKUP($D73,Lists!$J$1:$AB$29,9,FALSE)</f>
        <v>-</v>
      </c>
      <c r="O73" s="29" t="str">
        <f>VLOOKUP($D73,Lists!$J$1:$AB$29,10,FALSE)</f>
        <v>-</v>
      </c>
      <c r="P73" s="29" t="str">
        <f>VLOOKUP($D73,Lists!$J$1:$AB$29,11,FALSE)</f>
        <v>-</v>
      </c>
      <c r="Q73" s="29" t="str">
        <f>VLOOKUP($D73,Lists!$J$1:$AB$29,12,FALSE)</f>
        <v>-</v>
      </c>
      <c r="R73" s="29" t="str">
        <f>VLOOKUP($D73,Lists!$J$1:$AB$29,13,FALSE)</f>
        <v>-</v>
      </c>
      <c r="S73" s="29" t="str">
        <f>VLOOKUP($D73,Lists!$J$1:$AB$29,14,FALSE)</f>
        <v>-</v>
      </c>
      <c r="T73" s="29" t="str">
        <f>VLOOKUP($D73,Lists!$J$1:$AB$29,15,FALSE)</f>
        <v>-</v>
      </c>
      <c r="U73" s="29" t="str">
        <f>VLOOKUP($D73,Lists!$J$1:$AB$29,16,FALSE)</f>
        <v>-</v>
      </c>
      <c r="V73" s="29" t="str">
        <f>VLOOKUP($D73,Lists!$J$1:$AB$29,17,FALSE)</f>
        <v>-</v>
      </c>
      <c r="W73" s="29" t="str">
        <f>VLOOKUP($D73,Lists!$J$1:$AB$29,18,FALSE)</f>
        <v>-</v>
      </c>
      <c r="X73" s="29" t="str">
        <f>VLOOKUP($D73,Lists!$J$1:$AB$29,19,FALSE)</f>
        <v>-</v>
      </c>
      <c r="Y73" s="29" t="str">
        <f>VLOOKUP($D73,Lists!$J$1:$AC$29,20,FALSE)</f>
        <v>-</v>
      </c>
      <c r="Z73" s="32" t="str">
        <f t="shared" si="1"/>
        <v>5</v>
      </c>
    </row>
    <row r="74" spans="1:26" x14ac:dyDescent="0.25">
      <c r="A74" t="s">
        <v>80</v>
      </c>
      <c r="B74" t="s">
        <v>109</v>
      </c>
      <c r="C74" s="16" t="str">
        <f>A74&amp;B74</f>
        <v>PansiesRed 6</v>
      </c>
      <c r="D74" s="8">
        <v>322</v>
      </c>
      <c r="E74" s="42" t="str">
        <f>A74&amp;D74</f>
        <v>Pansies322</v>
      </c>
      <c r="F74" s="29" t="str">
        <f>VLOOKUP($D74,Lists!$J$1:$AB$29,2,FALSE)</f>
        <v>RR-Yy-Ss</v>
      </c>
      <c r="G74" t="s">
        <v>94</v>
      </c>
      <c r="H74" s="29" t="str">
        <f>VLOOKUP($D74,Lists!$J$1:$AB$29,3,FALSE)</f>
        <v>YS</v>
      </c>
      <c r="I74" s="29">
        <f>VLOOKUP($D74,Lists!$J$1:$AB$29,4,FALSE)</f>
        <v>4</v>
      </c>
      <c r="J74" s="29" t="str">
        <f>VLOOKUP($D74,Lists!$J$1:$AB$29,5,FALSE)</f>
        <v>RYS</v>
      </c>
      <c r="K74" s="29">
        <f>VLOOKUP($D74,Lists!$J$1:$AB$29,6,FALSE)</f>
        <v>222</v>
      </c>
      <c r="L74" s="29" t="str">
        <f>VLOOKUP($D74,Lists!$J$1:$AB$29,7,FALSE)</f>
        <v>RyS</v>
      </c>
      <c r="M74" s="29">
        <f>VLOOKUP($D74,Lists!$J$1:$AB$29,8,FALSE)</f>
        <v>212</v>
      </c>
      <c r="N74" s="29" t="str">
        <f>VLOOKUP($D74,Lists!$J$1:$AB$29,9,FALSE)</f>
        <v>RYs</v>
      </c>
      <c r="O74" s="29">
        <f>VLOOKUP($D74,Lists!$J$1:$AB$29,10,FALSE)</f>
        <v>221</v>
      </c>
      <c r="P74" s="29" t="str">
        <f>VLOOKUP($D74,Lists!$J$1:$AB$29,11,FALSE)</f>
        <v>Rys</v>
      </c>
      <c r="Q74" s="29">
        <f>VLOOKUP($D74,Lists!$J$1:$AB$29,12,FALSE)</f>
        <v>211</v>
      </c>
      <c r="R74" s="29" t="str">
        <f>VLOOKUP($D74,Lists!$J$1:$AB$29,13,FALSE)</f>
        <v>-</v>
      </c>
      <c r="S74" s="29" t="str">
        <f>VLOOKUP($D74,Lists!$J$1:$AB$29,14,FALSE)</f>
        <v>-</v>
      </c>
      <c r="T74" s="29" t="str">
        <f>VLOOKUP($D74,Lists!$J$1:$AB$29,15,FALSE)</f>
        <v>-</v>
      </c>
      <c r="U74" s="29" t="str">
        <f>VLOOKUP($D74,Lists!$J$1:$AB$29,16,FALSE)</f>
        <v>-</v>
      </c>
      <c r="V74" s="29" t="str">
        <f>VLOOKUP($D74,Lists!$J$1:$AB$29,17,FALSE)</f>
        <v>-</v>
      </c>
      <c r="W74" s="29" t="str">
        <f>VLOOKUP($D74,Lists!$J$1:$AB$29,18,FALSE)</f>
        <v>-</v>
      </c>
      <c r="X74" s="29" t="str">
        <f>VLOOKUP($D74,Lists!$J$1:$AB$29,19,FALSE)</f>
        <v>-</v>
      </c>
      <c r="Y74" s="29" t="str">
        <f>VLOOKUP($D74,Lists!$J$1:$AC$29,20,FALSE)</f>
        <v>-</v>
      </c>
      <c r="Z74" s="32" t="str">
        <f t="shared" si="1"/>
        <v>6</v>
      </c>
    </row>
    <row r="75" spans="1:26" x14ac:dyDescent="0.25">
      <c r="A75" t="s">
        <v>80</v>
      </c>
      <c r="B75" t="s">
        <v>40</v>
      </c>
      <c r="C75" s="16" t="str">
        <f>A75&amp;B75</f>
        <v>PansiesWhite 2</v>
      </c>
      <c r="D75" s="8">
        <v>111</v>
      </c>
      <c r="E75" s="42" t="str">
        <f>A75&amp;D75</f>
        <v>Pansies111</v>
      </c>
      <c r="F75" s="29" t="str">
        <f>VLOOKUP($D75,Lists!$J$1:$AB$29,2,FALSE)</f>
        <v>rr-yy-ss</v>
      </c>
      <c r="G75" t="s">
        <v>96</v>
      </c>
      <c r="H75" s="29" t="str">
        <f>VLOOKUP($D75,Lists!$J$1:$AB$29,3,FALSE)</f>
        <v>-</v>
      </c>
      <c r="I75" s="29">
        <f>VLOOKUP($D75,Lists!$J$1:$AB$29,4,FALSE)</f>
        <v>1</v>
      </c>
      <c r="J75" s="29" t="str">
        <f>VLOOKUP($D75,Lists!$J$1:$AB$29,5,FALSE)</f>
        <v>rys</v>
      </c>
      <c r="K75" s="29">
        <f>VLOOKUP($D75,Lists!$J$1:$AB$29,6,FALSE)</f>
        <v>111</v>
      </c>
      <c r="L75" s="29" t="str">
        <f>VLOOKUP($D75,Lists!$J$1:$AB$29,7,FALSE)</f>
        <v>-</v>
      </c>
      <c r="M75" s="29" t="str">
        <f>VLOOKUP($D75,Lists!$J$1:$AB$29,8,FALSE)</f>
        <v>-</v>
      </c>
      <c r="N75" s="29" t="str">
        <f>VLOOKUP($D75,Lists!$J$1:$AB$29,9,FALSE)</f>
        <v>-</v>
      </c>
      <c r="O75" s="29" t="str">
        <f>VLOOKUP($D75,Lists!$J$1:$AB$29,10,FALSE)</f>
        <v>-</v>
      </c>
      <c r="P75" s="29" t="str">
        <f>VLOOKUP($D75,Lists!$J$1:$AB$29,11,FALSE)</f>
        <v>-</v>
      </c>
      <c r="Q75" s="29" t="str">
        <f>VLOOKUP($D75,Lists!$J$1:$AB$29,12,FALSE)</f>
        <v>-</v>
      </c>
      <c r="R75" s="29" t="str">
        <f>VLOOKUP($D75,Lists!$J$1:$AB$29,13,FALSE)</f>
        <v>-</v>
      </c>
      <c r="S75" s="29" t="str">
        <f>VLOOKUP($D75,Lists!$J$1:$AB$29,14,FALSE)</f>
        <v>-</v>
      </c>
      <c r="T75" s="29" t="str">
        <f>VLOOKUP($D75,Lists!$J$1:$AB$29,15,FALSE)</f>
        <v>-</v>
      </c>
      <c r="U75" s="29" t="str">
        <f>VLOOKUP($D75,Lists!$J$1:$AB$29,16,FALSE)</f>
        <v>-</v>
      </c>
      <c r="V75" s="29" t="str">
        <f>VLOOKUP($D75,Lists!$J$1:$AB$29,17,FALSE)</f>
        <v>-</v>
      </c>
      <c r="W75" s="29" t="str">
        <f>VLOOKUP($D75,Lists!$J$1:$AB$29,18,FALSE)</f>
        <v>-</v>
      </c>
      <c r="X75" s="29" t="str">
        <f>VLOOKUP($D75,Lists!$J$1:$AB$29,19,FALSE)</f>
        <v>-</v>
      </c>
      <c r="Y75" s="29" t="str">
        <f>VLOOKUP($D75,Lists!$J$1:$AC$29,20,FALSE)</f>
        <v>-</v>
      </c>
      <c r="Z75" s="32" t="str">
        <f t="shared" si="1"/>
        <v>2</v>
      </c>
    </row>
    <row r="76" spans="1:26" x14ac:dyDescent="0.25">
      <c r="A76" t="s">
        <v>80</v>
      </c>
      <c r="B76" t="s">
        <v>42</v>
      </c>
      <c r="C76" s="16" t="str">
        <f>A76&amp;B76</f>
        <v>PansiesYellow 2</v>
      </c>
      <c r="D76" s="8">
        <v>121</v>
      </c>
      <c r="E76" s="42" t="str">
        <f>A76&amp;D76</f>
        <v>Pansies121</v>
      </c>
      <c r="F76" s="29" t="str">
        <f>VLOOKUP($D76,Lists!$J$1:$AB$29,2,FALSE)</f>
        <v>rr-Yy-ss</v>
      </c>
      <c r="G76" t="s">
        <v>95</v>
      </c>
      <c r="H76" s="29" t="str">
        <f>VLOOKUP($D76,Lists!$J$1:$AB$29,3,FALSE)</f>
        <v>Y</v>
      </c>
      <c r="I76" s="29">
        <f>VLOOKUP($D76,Lists!$J$1:$AB$29,4,FALSE)</f>
        <v>2</v>
      </c>
      <c r="J76" s="29" t="str">
        <f>VLOOKUP($D76,Lists!$J$1:$AB$29,5,FALSE)</f>
        <v>rYs</v>
      </c>
      <c r="K76" s="29">
        <f>VLOOKUP($D76,Lists!$J$1:$AB$29,6,FALSE)</f>
        <v>121</v>
      </c>
      <c r="L76" s="29" t="str">
        <f>VLOOKUP($D76,Lists!$J$1:$AB$29,7,FALSE)</f>
        <v>rys</v>
      </c>
      <c r="M76" s="29">
        <f>VLOOKUP($D76,Lists!$J$1:$AB$29,8,FALSE)</f>
        <v>111</v>
      </c>
      <c r="N76" s="29" t="str">
        <f>VLOOKUP($D76,Lists!$J$1:$AB$29,9,FALSE)</f>
        <v>-</v>
      </c>
      <c r="O76" s="29" t="str">
        <f>VLOOKUP($D76,Lists!$J$1:$AB$29,10,FALSE)</f>
        <v>-</v>
      </c>
      <c r="P76" s="29" t="str">
        <f>VLOOKUP($D76,Lists!$J$1:$AB$29,11,FALSE)</f>
        <v>-</v>
      </c>
      <c r="Q76" s="29" t="str">
        <f>VLOOKUP($D76,Lists!$J$1:$AB$29,12,FALSE)</f>
        <v>-</v>
      </c>
      <c r="R76" s="29" t="str">
        <f>VLOOKUP($D76,Lists!$J$1:$AB$29,13,FALSE)</f>
        <v>-</v>
      </c>
      <c r="S76" s="29" t="str">
        <f>VLOOKUP($D76,Lists!$J$1:$AB$29,14,FALSE)</f>
        <v>-</v>
      </c>
      <c r="T76" s="29" t="str">
        <f>VLOOKUP($D76,Lists!$J$1:$AB$29,15,FALSE)</f>
        <v>-</v>
      </c>
      <c r="U76" s="29" t="str">
        <f>VLOOKUP($D76,Lists!$J$1:$AB$29,16,FALSE)</f>
        <v>-</v>
      </c>
      <c r="V76" s="29" t="str">
        <f>VLOOKUP($D76,Lists!$J$1:$AB$29,17,FALSE)</f>
        <v>-</v>
      </c>
      <c r="W76" s="29" t="str">
        <f>VLOOKUP($D76,Lists!$J$1:$AB$29,18,FALSE)</f>
        <v>-</v>
      </c>
      <c r="X76" s="29" t="str">
        <f>VLOOKUP($D76,Lists!$J$1:$AB$29,19,FALSE)</f>
        <v>-</v>
      </c>
      <c r="Y76" s="29" t="str">
        <f>VLOOKUP($D76,Lists!$J$1:$AC$29,20,FALSE)</f>
        <v>-</v>
      </c>
      <c r="Z76" s="32" t="str">
        <f t="shared" si="1"/>
        <v>2</v>
      </c>
    </row>
    <row r="77" spans="1:26" x14ac:dyDescent="0.25">
      <c r="A77" t="s">
        <v>80</v>
      </c>
      <c r="B77" t="s">
        <v>43</v>
      </c>
      <c r="C77" s="16" t="str">
        <f>A77&amp;B77</f>
        <v>PansiesYellow 3</v>
      </c>
      <c r="D77" s="8">
        <v>122</v>
      </c>
      <c r="E77" s="42" t="str">
        <f>A77&amp;D77</f>
        <v>Pansies122</v>
      </c>
      <c r="F77" s="29" t="str">
        <f>VLOOKUP($D77,Lists!$J$1:$AB$29,2,FALSE)</f>
        <v>rr-Yy-Ss</v>
      </c>
      <c r="G77" t="s">
        <v>95</v>
      </c>
      <c r="H77" s="29" t="str">
        <f>VLOOKUP($D77,Lists!$J$1:$AB$29,3,FALSE)</f>
        <v>YS</v>
      </c>
      <c r="I77" s="29">
        <f>VLOOKUP($D77,Lists!$J$1:$AB$29,4,FALSE)</f>
        <v>4</v>
      </c>
      <c r="J77" s="29" t="str">
        <f>VLOOKUP($D77,Lists!$J$1:$AB$29,5,FALSE)</f>
        <v>rYS</v>
      </c>
      <c r="K77" s="29">
        <f>VLOOKUP($D77,Lists!$J$1:$AB$29,6,FALSE)</f>
        <v>122</v>
      </c>
      <c r="L77" s="29" t="str">
        <f>VLOOKUP($D77,Lists!$J$1:$AB$29,7,FALSE)</f>
        <v>ryS</v>
      </c>
      <c r="M77" s="29">
        <f>VLOOKUP($D77,Lists!$J$1:$AB$29,8,FALSE)</f>
        <v>112</v>
      </c>
      <c r="N77" s="29" t="str">
        <f>VLOOKUP($D77,Lists!$J$1:$AB$29,9,FALSE)</f>
        <v>rYs</v>
      </c>
      <c r="O77" s="29">
        <f>VLOOKUP($D77,Lists!$J$1:$AB$29,10,FALSE)</f>
        <v>121</v>
      </c>
      <c r="P77" s="29" t="str">
        <f>VLOOKUP($D77,Lists!$J$1:$AB$29,11,FALSE)</f>
        <v>rys</v>
      </c>
      <c r="Q77" s="29">
        <f>VLOOKUP($D77,Lists!$J$1:$AB$29,12,FALSE)</f>
        <v>111</v>
      </c>
      <c r="R77" s="29" t="str">
        <f>VLOOKUP($D77,Lists!$J$1:$AB$29,13,FALSE)</f>
        <v>-</v>
      </c>
      <c r="S77" s="29" t="str">
        <f>VLOOKUP($D77,Lists!$J$1:$AB$29,14,FALSE)</f>
        <v>-</v>
      </c>
      <c r="T77" s="29" t="str">
        <f>VLOOKUP($D77,Lists!$J$1:$AB$29,15,FALSE)</f>
        <v>-</v>
      </c>
      <c r="U77" s="29" t="str">
        <f>VLOOKUP($D77,Lists!$J$1:$AB$29,16,FALSE)</f>
        <v>-</v>
      </c>
      <c r="V77" s="29" t="str">
        <f>VLOOKUP($D77,Lists!$J$1:$AB$29,17,FALSE)</f>
        <v>-</v>
      </c>
      <c r="W77" s="29" t="str">
        <f>VLOOKUP($D77,Lists!$J$1:$AB$29,18,FALSE)</f>
        <v>-</v>
      </c>
      <c r="X77" s="29" t="str">
        <f>VLOOKUP($D77,Lists!$J$1:$AB$29,19,FALSE)</f>
        <v>-</v>
      </c>
      <c r="Y77" s="29" t="str">
        <f>VLOOKUP($D77,Lists!$J$1:$AC$29,20,FALSE)</f>
        <v>-</v>
      </c>
      <c r="Z77" s="32" t="str">
        <f t="shared" si="1"/>
        <v>3</v>
      </c>
    </row>
    <row r="78" spans="1:26" x14ac:dyDescent="0.25">
      <c r="A78" t="s">
        <v>80</v>
      </c>
      <c r="B78" t="s">
        <v>54</v>
      </c>
      <c r="C78" s="16" t="str">
        <f>A78&amp;B78</f>
        <v>PansiesYellow 4</v>
      </c>
      <c r="D78" s="8">
        <v>132</v>
      </c>
      <c r="E78" s="42" t="str">
        <f>A78&amp;D78</f>
        <v>Pansies132</v>
      </c>
      <c r="F78" s="29" t="str">
        <f>VLOOKUP($D78,Lists!$J$1:$AB$29,2,FALSE)</f>
        <v>rr-YY-Ss</v>
      </c>
      <c r="G78" t="s">
        <v>95</v>
      </c>
      <c r="H78" s="29" t="str">
        <f>VLOOKUP($D78,Lists!$J$1:$AB$29,3,FALSE)</f>
        <v>S</v>
      </c>
      <c r="I78" s="29">
        <f>VLOOKUP($D78,Lists!$J$1:$AB$29,4,FALSE)</f>
        <v>2</v>
      </c>
      <c r="J78" s="29" t="str">
        <f>VLOOKUP($D78,Lists!$J$1:$AB$29,5,FALSE)</f>
        <v>rYs</v>
      </c>
      <c r="K78" s="29">
        <f>VLOOKUP($D78,Lists!$J$1:$AB$29,6,FALSE)</f>
        <v>121</v>
      </c>
      <c r="L78" s="29" t="str">
        <f>VLOOKUP($D78,Lists!$J$1:$AB$29,7,FALSE)</f>
        <v>rYS</v>
      </c>
      <c r="M78" s="29">
        <f>VLOOKUP($D78,Lists!$J$1:$AB$29,8,FALSE)</f>
        <v>122</v>
      </c>
      <c r="N78" s="29" t="str">
        <f>VLOOKUP($D78,Lists!$J$1:$AB$29,9,FALSE)</f>
        <v>-</v>
      </c>
      <c r="O78" s="29" t="str">
        <f>VLOOKUP($D78,Lists!$J$1:$AB$29,10,FALSE)</f>
        <v>-</v>
      </c>
      <c r="P78" s="29" t="str">
        <f>VLOOKUP($D78,Lists!$J$1:$AB$29,11,FALSE)</f>
        <v>-</v>
      </c>
      <c r="Q78" s="29" t="str">
        <f>VLOOKUP($D78,Lists!$J$1:$AB$29,12,FALSE)</f>
        <v>-</v>
      </c>
      <c r="R78" s="29" t="str">
        <f>VLOOKUP($D78,Lists!$J$1:$AB$29,13,FALSE)</f>
        <v>-</v>
      </c>
      <c r="S78" s="29" t="str">
        <f>VLOOKUP($D78,Lists!$J$1:$AB$29,14,FALSE)</f>
        <v>-</v>
      </c>
      <c r="T78" s="29" t="str">
        <f>VLOOKUP($D78,Lists!$J$1:$AB$29,15,FALSE)</f>
        <v>-</v>
      </c>
      <c r="U78" s="29" t="str">
        <f>VLOOKUP($D78,Lists!$J$1:$AB$29,16,FALSE)</f>
        <v>-</v>
      </c>
      <c r="V78" s="29" t="str">
        <f>VLOOKUP($D78,Lists!$J$1:$AB$29,17,FALSE)</f>
        <v>-</v>
      </c>
      <c r="W78" s="29" t="str">
        <f>VLOOKUP($D78,Lists!$J$1:$AB$29,18,FALSE)</f>
        <v>-</v>
      </c>
      <c r="X78" s="29" t="str">
        <f>VLOOKUP($D78,Lists!$J$1:$AB$29,19,FALSE)</f>
        <v>-</v>
      </c>
      <c r="Y78" s="29" t="str">
        <f>VLOOKUP($D78,Lists!$J$1:$AC$29,20,FALSE)</f>
        <v>-</v>
      </c>
      <c r="Z78" s="32" t="str">
        <f t="shared" si="1"/>
        <v>4</v>
      </c>
    </row>
    <row r="79" spans="1:26" x14ac:dyDescent="0.25">
      <c r="A79" t="s">
        <v>80</v>
      </c>
      <c r="B79" t="s">
        <v>53</v>
      </c>
      <c r="C79" s="16" t="str">
        <f>A79&amp;B79</f>
        <v>PansiesYellow 5</v>
      </c>
      <c r="D79" s="8">
        <v>133</v>
      </c>
      <c r="E79" s="42" t="str">
        <f>A79&amp;D79</f>
        <v>Pansies133</v>
      </c>
      <c r="F79" s="29" t="str">
        <f>VLOOKUP($D79,Lists!$J$1:$AB$29,2,FALSE)</f>
        <v>rr-YY-SS</v>
      </c>
      <c r="G79" t="s">
        <v>95</v>
      </c>
      <c r="H79" s="29" t="str">
        <f>VLOOKUP($D79,Lists!$J$1:$AB$29,3,FALSE)</f>
        <v>-</v>
      </c>
      <c r="I79" s="29">
        <f>VLOOKUP($D79,Lists!$J$1:$AB$29,4,FALSE)</f>
        <v>1</v>
      </c>
      <c r="J79" s="29" t="str">
        <f>VLOOKUP($D79,Lists!$J$1:$AB$29,5,FALSE)</f>
        <v>rYS</v>
      </c>
      <c r="K79" s="29">
        <f>VLOOKUP($D79,Lists!$J$1:$AB$29,6,FALSE)</f>
        <v>122</v>
      </c>
      <c r="L79" s="29" t="str">
        <f>VLOOKUP($D79,Lists!$J$1:$AB$29,7,FALSE)</f>
        <v>-</v>
      </c>
      <c r="M79" s="29" t="str">
        <f>VLOOKUP($D79,Lists!$J$1:$AB$29,8,FALSE)</f>
        <v>-</v>
      </c>
      <c r="N79" s="29" t="str">
        <f>VLOOKUP($D79,Lists!$J$1:$AB$29,9,FALSE)</f>
        <v>-</v>
      </c>
      <c r="O79" s="29" t="str">
        <f>VLOOKUP($D79,Lists!$J$1:$AB$29,10,FALSE)</f>
        <v>-</v>
      </c>
      <c r="P79" s="29" t="str">
        <f>VLOOKUP($D79,Lists!$J$1:$AB$29,11,FALSE)</f>
        <v>-</v>
      </c>
      <c r="Q79" s="29" t="str">
        <f>VLOOKUP($D79,Lists!$J$1:$AB$29,12,FALSE)</f>
        <v>-</v>
      </c>
      <c r="R79" s="29" t="str">
        <f>VLOOKUP($D79,Lists!$J$1:$AB$29,13,FALSE)</f>
        <v>-</v>
      </c>
      <c r="S79" s="29" t="str">
        <f>VLOOKUP($D79,Lists!$J$1:$AB$29,14,FALSE)</f>
        <v>-</v>
      </c>
      <c r="T79" s="29" t="str">
        <f>VLOOKUP($D79,Lists!$J$1:$AB$29,15,FALSE)</f>
        <v>-</v>
      </c>
      <c r="U79" s="29" t="str">
        <f>VLOOKUP($D79,Lists!$J$1:$AB$29,16,FALSE)</f>
        <v>-</v>
      </c>
      <c r="V79" s="29" t="str">
        <f>VLOOKUP($D79,Lists!$J$1:$AB$29,17,FALSE)</f>
        <v>-</v>
      </c>
      <c r="W79" s="29" t="str">
        <f>VLOOKUP($D79,Lists!$J$1:$AB$29,18,FALSE)</f>
        <v>-</v>
      </c>
      <c r="X79" s="29" t="str">
        <f>VLOOKUP($D79,Lists!$J$1:$AB$29,19,FALSE)</f>
        <v>-</v>
      </c>
      <c r="Y79" s="29" t="str">
        <f>VLOOKUP($D79,Lists!$J$1:$AC$29,20,FALSE)</f>
        <v>-</v>
      </c>
      <c r="Z79" s="32" t="str">
        <f t="shared" si="1"/>
        <v>5</v>
      </c>
    </row>
    <row r="80" spans="1:26" x14ac:dyDescent="0.25">
      <c r="A80" t="s">
        <v>80</v>
      </c>
      <c r="B80" t="s">
        <v>92</v>
      </c>
      <c r="C80" s="16" t="str">
        <f>A80&amp;B80</f>
        <v>PansiesYellow 6</v>
      </c>
      <c r="D80" s="8">
        <v>231</v>
      </c>
      <c r="E80" s="42" t="str">
        <f>A80&amp;D80</f>
        <v>Pansies231</v>
      </c>
      <c r="F80" s="29" t="str">
        <f>VLOOKUP($D80,Lists!$J$1:$AB$29,2,FALSE)</f>
        <v>Rr-YY-ss</v>
      </c>
      <c r="G80" t="s">
        <v>95</v>
      </c>
      <c r="H80" s="29" t="str">
        <f>VLOOKUP($D80,Lists!$J$1:$AB$29,3,FALSE)</f>
        <v>R</v>
      </c>
      <c r="I80" s="29">
        <f>VLOOKUP($D80,Lists!$J$1:$AB$29,4,FALSE)</f>
        <v>2</v>
      </c>
      <c r="J80" s="29" t="str">
        <f>VLOOKUP($D80,Lists!$J$1:$AB$29,5,FALSE)</f>
        <v>Rys</v>
      </c>
      <c r="K80" s="29">
        <f>VLOOKUP($D80,Lists!$J$1:$AB$29,6,FALSE)</f>
        <v>211</v>
      </c>
      <c r="L80" s="29" t="str">
        <f>VLOOKUP($D80,Lists!$J$1:$AB$29,7,FALSE)</f>
        <v>rYs</v>
      </c>
      <c r="M80" s="29">
        <f>VLOOKUP($D80,Lists!$J$1:$AB$29,8,FALSE)</f>
        <v>121</v>
      </c>
      <c r="N80" s="29" t="str">
        <f>VLOOKUP($D80,Lists!$J$1:$AB$29,9,FALSE)</f>
        <v>-</v>
      </c>
      <c r="O80" s="29" t="str">
        <f>VLOOKUP($D80,Lists!$J$1:$AB$29,10,FALSE)</f>
        <v>-</v>
      </c>
      <c r="P80" s="29" t="str">
        <f>VLOOKUP($D80,Lists!$J$1:$AB$29,11,FALSE)</f>
        <v>-</v>
      </c>
      <c r="Q80" s="29" t="str">
        <f>VLOOKUP($D80,Lists!$J$1:$AB$29,12,FALSE)</f>
        <v>-</v>
      </c>
      <c r="R80" s="29" t="str">
        <f>VLOOKUP($D80,Lists!$J$1:$AB$29,13,FALSE)</f>
        <v>-</v>
      </c>
      <c r="S80" s="29" t="str">
        <f>VLOOKUP($D80,Lists!$J$1:$AB$29,14,FALSE)</f>
        <v>-</v>
      </c>
      <c r="T80" s="29" t="str">
        <f>VLOOKUP($D80,Lists!$J$1:$AB$29,15,FALSE)</f>
        <v>-</v>
      </c>
      <c r="U80" s="29" t="str">
        <f>VLOOKUP($D80,Lists!$J$1:$AB$29,16,FALSE)</f>
        <v>-</v>
      </c>
      <c r="V80" s="29" t="str">
        <f>VLOOKUP($D80,Lists!$J$1:$AB$29,17,FALSE)</f>
        <v>-</v>
      </c>
      <c r="W80" s="29" t="str">
        <f>VLOOKUP($D80,Lists!$J$1:$AB$29,18,FALSE)</f>
        <v>-</v>
      </c>
      <c r="X80" s="29" t="str">
        <f>VLOOKUP($D80,Lists!$J$1:$AB$29,19,FALSE)</f>
        <v>-</v>
      </c>
      <c r="Y80" s="29" t="str">
        <f>VLOOKUP($D80,Lists!$J$1:$AC$29,20,FALSE)</f>
        <v>-</v>
      </c>
      <c r="Z80" s="32" t="str">
        <f t="shared" si="1"/>
        <v>6</v>
      </c>
    </row>
    <row r="81" spans="1:26" x14ac:dyDescent="0.25">
      <c r="A81" t="s">
        <v>80</v>
      </c>
      <c r="B81" t="s">
        <v>93</v>
      </c>
      <c r="C81" s="16" t="str">
        <f>A81&amp;B81</f>
        <v>PansiesYellow 7</v>
      </c>
      <c r="D81" s="8">
        <v>232</v>
      </c>
      <c r="E81" s="42" t="str">
        <f>A81&amp;D81</f>
        <v>Pansies232</v>
      </c>
      <c r="F81" s="29" t="str">
        <f>VLOOKUP($D81,Lists!$J$1:$AB$29,2,FALSE)</f>
        <v>Rr-YY-Ss</v>
      </c>
      <c r="G81" t="s">
        <v>95</v>
      </c>
      <c r="H81" s="29" t="str">
        <f>VLOOKUP($D81,Lists!$J$1:$AB$29,3,FALSE)</f>
        <v>RS</v>
      </c>
      <c r="I81" s="29">
        <f>VLOOKUP($D81,Lists!$J$1:$AB$29,4,FALSE)</f>
        <v>4</v>
      </c>
      <c r="J81" s="29" t="str">
        <f>VLOOKUP($D81,Lists!$J$1:$AB$29,5,FALSE)</f>
        <v>RYS</v>
      </c>
      <c r="K81" s="29">
        <f>VLOOKUP($D81,Lists!$J$1:$AB$29,6,FALSE)</f>
        <v>222</v>
      </c>
      <c r="L81" s="29" t="str">
        <f>VLOOKUP($D81,Lists!$J$1:$AB$29,7,FALSE)</f>
        <v>Rys</v>
      </c>
      <c r="M81" s="29">
        <f>VLOOKUP($D81,Lists!$J$1:$AB$29,8,FALSE)</f>
        <v>211</v>
      </c>
      <c r="N81" s="29" t="str">
        <f>VLOOKUP($D81,Lists!$J$1:$AB$29,9,FALSE)</f>
        <v>rYS</v>
      </c>
      <c r="O81" s="29">
        <f>VLOOKUP($D81,Lists!$J$1:$AB$29,10,FALSE)</f>
        <v>122</v>
      </c>
      <c r="P81" s="29" t="str">
        <f>VLOOKUP($D81,Lists!$J$1:$AB$29,11,FALSE)</f>
        <v>rYs</v>
      </c>
      <c r="Q81" s="29">
        <f>VLOOKUP($D81,Lists!$J$1:$AB$29,12,FALSE)</f>
        <v>121</v>
      </c>
      <c r="R81" s="29" t="str">
        <f>VLOOKUP($D81,Lists!$J$1:$AB$29,13,FALSE)</f>
        <v>-</v>
      </c>
      <c r="S81" s="29" t="str">
        <f>VLOOKUP($D81,Lists!$J$1:$AB$29,14,FALSE)</f>
        <v>-</v>
      </c>
      <c r="T81" s="29" t="str">
        <f>VLOOKUP($D81,Lists!$J$1:$AB$29,15,FALSE)</f>
        <v>-</v>
      </c>
      <c r="U81" s="29" t="str">
        <f>VLOOKUP($D81,Lists!$J$1:$AB$29,16,FALSE)</f>
        <v>-</v>
      </c>
      <c r="V81" s="29" t="str">
        <f>VLOOKUP($D81,Lists!$J$1:$AB$29,17,FALSE)</f>
        <v>-</v>
      </c>
      <c r="W81" s="29" t="str">
        <f>VLOOKUP($D81,Lists!$J$1:$AB$29,18,FALSE)</f>
        <v>-</v>
      </c>
      <c r="X81" s="29" t="str">
        <f>VLOOKUP($D81,Lists!$J$1:$AB$29,19,FALSE)</f>
        <v>-</v>
      </c>
      <c r="Y81" s="29" t="str">
        <f>VLOOKUP($D81,Lists!$J$1:$AC$29,20,FALSE)</f>
        <v>-</v>
      </c>
      <c r="Z81" s="32" t="str">
        <f t="shared" si="1"/>
        <v>7</v>
      </c>
    </row>
    <row r="82" spans="1:26" x14ac:dyDescent="0.25">
      <c r="A82" t="s">
        <v>80</v>
      </c>
      <c r="B82" t="s">
        <v>110</v>
      </c>
      <c r="C82" s="16" t="str">
        <f>A82&amp;B82</f>
        <v>PansiesYellow 8</v>
      </c>
      <c r="D82" s="8">
        <v>233</v>
      </c>
      <c r="E82" s="42" t="str">
        <f>A82&amp;D82</f>
        <v>Pansies233</v>
      </c>
      <c r="F82" s="29" t="str">
        <f>VLOOKUP($D82,Lists!$J$1:$AB$29,2,FALSE)</f>
        <v>Rr-YY-SS</v>
      </c>
      <c r="G82" t="s">
        <v>95</v>
      </c>
      <c r="H82" s="29" t="str">
        <f>VLOOKUP($D82,Lists!$J$1:$AB$29,3,FALSE)</f>
        <v>R</v>
      </c>
      <c r="I82" s="29">
        <f>VLOOKUP($D82,Lists!$J$1:$AB$29,4,FALSE)</f>
        <v>2</v>
      </c>
      <c r="J82" s="29" t="str">
        <f>VLOOKUP($D82,Lists!$J$1:$AB$29,5,FALSE)</f>
        <v>RYS</v>
      </c>
      <c r="K82" s="29">
        <f>VLOOKUP($D82,Lists!$J$1:$AB$29,6,FALSE)</f>
        <v>222</v>
      </c>
      <c r="L82" s="29" t="str">
        <f>VLOOKUP($D82,Lists!$J$1:$AB$29,7,FALSE)</f>
        <v>rYS</v>
      </c>
      <c r="M82" s="29">
        <f>VLOOKUP($D82,Lists!$J$1:$AB$29,8,FALSE)</f>
        <v>122</v>
      </c>
      <c r="N82" s="29" t="str">
        <f>VLOOKUP($D82,Lists!$J$1:$AB$29,9,FALSE)</f>
        <v>-</v>
      </c>
      <c r="O82" s="29" t="str">
        <f>VLOOKUP($D82,Lists!$J$1:$AB$29,10,FALSE)</f>
        <v>-</v>
      </c>
      <c r="P82" s="29" t="str">
        <f>VLOOKUP($D82,Lists!$J$1:$AB$29,11,FALSE)</f>
        <v>-</v>
      </c>
      <c r="Q82" s="29" t="str">
        <f>VLOOKUP($D82,Lists!$J$1:$AB$29,12,FALSE)</f>
        <v>-</v>
      </c>
      <c r="R82" s="29" t="str">
        <f>VLOOKUP($D82,Lists!$J$1:$AB$29,13,FALSE)</f>
        <v>-</v>
      </c>
      <c r="S82" s="29" t="str">
        <f>VLOOKUP($D82,Lists!$J$1:$AB$29,14,FALSE)</f>
        <v>-</v>
      </c>
      <c r="T82" s="29" t="str">
        <f>VLOOKUP($D82,Lists!$J$1:$AB$29,15,FALSE)</f>
        <v>-</v>
      </c>
      <c r="U82" s="29" t="str">
        <f>VLOOKUP($D82,Lists!$J$1:$AB$29,16,FALSE)</f>
        <v>-</v>
      </c>
      <c r="V82" s="29" t="str">
        <f>VLOOKUP($D82,Lists!$J$1:$AB$29,17,FALSE)</f>
        <v>-</v>
      </c>
      <c r="W82" s="29" t="str">
        <f>VLOOKUP($D82,Lists!$J$1:$AB$29,18,FALSE)</f>
        <v>-</v>
      </c>
      <c r="X82" s="29" t="str">
        <f>VLOOKUP($D82,Lists!$J$1:$AB$29,19,FALSE)</f>
        <v>-</v>
      </c>
      <c r="Y82" s="29" t="str">
        <f>VLOOKUP($D82,Lists!$J$1:$AC$29,20,FALSE)</f>
        <v>-</v>
      </c>
      <c r="Z82" s="32" t="str">
        <f t="shared" si="1"/>
        <v>8</v>
      </c>
    </row>
    <row r="83" spans="1:26" x14ac:dyDescent="0.25">
      <c r="A83" t="s">
        <v>82</v>
      </c>
      <c r="B83" t="s">
        <v>40</v>
      </c>
      <c r="C83" s="16" t="str">
        <f>A83&amp;B83</f>
        <v>HyacinthsWhite 2</v>
      </c>
      <c r="D83" s="8">
        <v>111</v>
      </c>
      <c r="E83" s="42" t="str">
        <f>A83&amp;D83</f>
        <v>Hyacinths111</v>
      </c>
      <c r="F83" s="29" t="str">
        <f>VLOOKUP($D83,Lists!$J$1:$AB$29,2,FALSE)</f>
        <v>rr-yy-ss</v>
      </c>
      <c r="G83" t="s">
        <v>96</v>
      </c>
      <c r="H83" s="29" t="str">
        <f>VLOOKUP($D83,Lists!$J$1:$AB$29,3,FALSE)</f>
        <v>-</v>
      </c>
      <c r="I83" s="29">
        <f>VLOOKUP($D83,Lists!$J$1:$AB$29,4,FALSE)</f>
        <v>1</v>
      </c>
      <c r="J83" s="29" t="str">
        <f>VLOOKUP($D83,Lists!$J$1:$AB$29,5,FALSE)</f>
        <v>rys</v>
      </c>
      <c r="K83" s="29">
        <f>VLOOKUP($D83,Lists!$J$1:$AB$29,6,FALSE)</f>
        <v>111</v>
      </c>
      <c r="L83" s="29" t="str">
        <f>VLOOKUP($D83,Lists!$J$1:$AB$29,7,FALSE)</f>
        <v>-</v>
      </c>
      <c r="M83" s="29" t="str">
        <f>VLOOKUP($D83,Lists!$J$1:$AB$29,8,FALSE)</f>
        <v>-</v>
      </c>
      <c r="N83" s="29" t="str">
        <f>VLOOKUP($D83,Lists!$J$1:$AB$29,9,FALSE)</f>
        <v>-</v>
      </c>
      <c r="O83" s="29" t="str">
        <f>VLOOKUP($D83,Lists!$J$1:$AB$29,10,FALSE)</f>
        <v>-</v>
      </c>
      <c r="P83" s="29" t="str">
        <f>VLOOKUP($D83,Lists!$J$1:$AB$29,11,FALSE)</f>
        <v>-</v>
      </c>
      <c r="Q83" s="29" t="str">
        <f>VLOOKUP($D83,Lists!$J$1:$AB$29,12,FALSE)</f>
        <v>-</v>
      </c>
      <c r="R83" s="29" t="str">
        <f>VLOOKUP($D83,Lists!$J$1:$AB$29,13,FALSE)</f>
        <v>-</v>
      </c>
      <c r="S83" s="29" t="str">
        <f>VLOOKUP($D83,Lists!$J$1:$AB$29,14,FALSE)</f>
        <v>-</v>
      </c>
      <c r="T83" s="29" t="str">
        <f>VLOOKUP($D83,Lists!$J$1:$AB$29,15,FALSE)</f>
        <v>-</v>
      </c>
      <c r="U83" s="29" t="str">
        <f>VLOOKUP($D83,Lists!$J$1:$AB$29,16,FALSE)</f>
        <v>-</v>
      </c>
      <c r="V83" s="29" t="str">
        <f>VLOOKUP($D83,Lists!$J$1:$AB$29,17,FALSE)</f>
        <v>-</v>
      </c>
      <c r="W83" s="29" t="str">
        <f>VLOOKUP($D83,Lists!$J$1:$AB$29,18,FALSE)</f>
        <v>-</v>
      </c>
      <c r="X83" s="29" t="str">
        <f>VLOOKUP($D83,Lists!$J$1:$AB$29,19,FALSE)</f>
        <v>-</v>
      </c>
      <c r="Y83" s="29" t="str">
        <f>VLOOKUP($D83,Lists!$J$1:$AC$29,20,FALSE)</f>
        <v>-</v>
      </c>
      <c r="Z83" s="32" t="str">
        <f t="shared" si="1"/>
        <v>2</v>
      </c>
    </row>
    <row r="84" spans="1:26" x14ac:dyDescent="0.25">
      <c r="A84" t="s">
        <v>82</v>
      </c>
      <c r="B84" t="s">
        <v>85</v>
      </c>
      <c r="C84" s="16" t="str">
        <f>A84&amp;B84</f>
        <v>HyacinthsWhite Seed</v>
      </c>
      <c r="D84" s="8">
        <v>112</v>
      </c>
      <c r="E84" s="16" t="str">
        <f>A84&amp;D84</f>
        <v>Hyacinths112</v>
      </c>
      <c r="F84" s="29" t="str">
        <f>VLOOKUP($D84,Lists!$J$1:$AB$29,2,FALSE)</f>
        <v>rr-yy-Ss</v>
      </c>
      <c r="G84" t="s">
        <v>96</v>
      </c>
      <c r="H84" s="29" t="str">
        <f>VLOOKUP($D84,Lists!$J$1:$AB$29,3,FALSE)</f>
        <v>S</v>
      </c>
      <c r="I84" s="29">
        <f>VLOOKUP($D84,Lists!$J$1:$AB$29,4,FALSE)</f>
        <v>2</v>
      </c>
      <c r="J84" s="29" t="str">
        <f>VLOOKUP($D84,Lists!$J$1:$AB$29,5,FALSE)</f>
        <v>rys</v>
      </c>
      <c r="K84" s="29">
        <f>VLOOKUP($D84,Lists!$J$1:$AB$29,6,FALSE)</f>
        <v>111</v>
      </c>
      <c r="L84" s="29" t="str">
        <f>VLOOKUP($D84,Lists!$J$1:$AB$29,7,FALSE)</f>
        <v>ryS</v>
      </c>
      <c r="M84" s="29">
        <f>VLOOKUP($D84,Lists!$J$1:$AB$29,8,FALSE)</f>
        <v>112</v>
      </c>
      <c r="N84" s="29" t="str">
        <f>VLOOKUP($D84,Lists!$J$1:$AB$29,9,FALSE)</f>
        <v>-</v>
      </c>
      <c r="O84" s="29" t="str">
        <f>VLOOKUP($D84,Lists!$J$1:$AB$29,10,FALSE)</f>
        <v>-</v>
      </c>
      <c r="P84" s="29" t="str">
        <f>VLOOKUP($D84,Lists!$J$1:$AB$29,11,FALSE)</f>
        <v>-</v>
      </c>
      <c r="Q84" s="29" t="str">
        <f>VLOOKUP($D84,Lists!$J$1:$AB$29,12,FALSE)</f>
        <v>-</v>
      </c>
      <c r="R84" s="29" t="str">
        <f>VLOOKUP($D84,Lists!$J$1:$AB$29,13,FALSE)</f>
        <v>-</v>
      </c>
      <c r="S84" s="29" t="str">
        <f>VLOOKUP($D84,Lists!$J$1:$AB$29,14,FALSE)</f>
        <v>-</v>
      </c>
      <c r="T84" s="29" t="str">
        <f>VLOOKUP($D84,Lists!$J$1:$AB$29,15,FALSE)</f>
        <v>-</v>
      </c>
      <c r="U84" s="29" t="str">
        <f>VLOOKUP($D84,Lists!$J$1:$AB$29,16,FALSE)</f>
        <v>-</v>
      </c>
      <c r="V84" s="29" t="str">
        <f>VLOOKUP($D84,Lists!$J$1:$AB$29,17,FALSE)</f>
        <v>-</v>
      </c>
      <c r="W84" s="29" t="str">
        <f>VLOOKUP($D84,Lists!$J$1:$AB$29,18,FALSE)</f>
        <v>-</v>
      </c>
      <c r="X84" s="29" t="str">
        <f>VLOOKUP($D84,Lists!$J$1:$AB$29,19,FALSE)</f>
        <v>-</v>
      </c>
      <c r="Y84" s="29" t="str">
        <f>VLOOKUP($D84,Lists!$J$1:$AC$29,20,FALSE)</f>
        <v>-</v>
      </c>
      <c r="Z84" s="32" t="s">
        <v>141</v>
      </c>
    </row>
    <row r="85" spans="1:26" x14ac:dyDescent="0.25">
      <c r="A85" t="s">
        <v>82</v>
      </c>
      <c r="B85" t="s">
        <v>103</v>
      </c>
      <c r="C85" s="16" t="str">
        <f>A85&amp;B85</f>
        <v>HyacinthsBlue 1</v>
      </c>
      <c r="D85" s="8">
        <v>113</v>
      </c>
      <c r="E85" s="16" t="str">
        <f>A85&amp;D85</f>
        <v>Hyacinths113</v>
      </c>
      <c r="F85" s="29" t="str">
        <f>VLOOKUP($D85,Lists!$J$1:$AB$29,2,FALSE)</f>
        <v>rr-yy-SS</v>
      </c>
      <c r="G85" t="s">
        <v>111</v>
      </c>
      <c r="H85" s="29" t="str">
        <f>VLOOKUP($D85,Lists!$J$1:$AB$29,3,FALSE)</f>
        <v>-</v>
      </c>
      <c r="I85" s="29">
        <f>VLOOKUP($D85,Lists!$J$1:$AB$29,4,FALSE)</f>
        <v>1</v>
      </c>
      <c r="J85" s="29" t="str">
        <f>VLOOKUP($D85,Lists!$J$1:$AB$29,5,FALSE)</f>
        <v>ryS</v>
      </c>
      <c r="K85" s="29">
        <f>VLOOKUP($D85,Lists!$J$1:$AB$29,6,FALSE)</f>
        <v>112</v>
      </c>
      <c r="L85" s="29" t="str">
        <f>VLOOKUP($D85,Lists!$J$1:$AB$29,7,FALSE)</f>
        <v>-</v>
      </c>
      <c r="M85" s="29" t="str">
        <f>VLOOKUP($D85,Lists!$J$1:$AB$29,8,FALSE)</f>
        <v>-</v>
      </c>
      <c r="N85" s="29" t="str">
        <f>VLOOKUP($D85,Lists!$J$1:$AB$29,9,FALSE)</f>
        <v>-</v>
      </c>
      <c r="O85" s="29" t="str">
        <f>VLOOKUP($D85,Lists!$J$1:$AB$29,10,FALSE)</f>
        <v>-</v>
      </c>
      <c r="P85" s="29" t="str">
        <f>VLOOKUP($D85,Lists!$J$1:$AB$29,11,FALSE)</f>
        <v>-</v>
      </c>
      <c r="Q85" s="29" t="str">
        <f>VLOOKUP($D85,Lists!$J$1:$AB$29,12,FALSE)</f>
        <v>-</v>
      </c>
      <c r="R85" s="29" t="str">
        <f>VLOOKUP($D85,Lists!$J$1:$AB$29,13,FALSE)</f>
        <v>-</v>
      </c>
      <c r="S85" s="29" t="str">
        <f>VLOOKUP($D85,Lists!$J$1:$AB$29,14,FALSE)</f>
        <v>-</v>
      </c>
      <c r="T85" s="29" t="str">
        <f>VLOOKUP($D85,Lists!$J$1:$AB$29,15,FALSE)</f>
        <v>-</v>
      </c>
      <c r="U85" s="29" t="str">
        <f>VLOOKUP($D85,Lists!$J$1:$AB$29,16,FALSE)</f>
        <v>-</v>
      </c>
      <c r="V85" s="29" t="str">
        <f>VLOOKUP($D85,Lists!$J$1:$AB$29,17,FALSE)</f>
        <v>-</v>
      </c>
      <c r="W85" s="29" t="str">
        <f>VLOOKUP($D85,Lists!$J$1:$AB$29,18,FALSE)</f>
        <v>-</v>
      </c>
      <c r="X85" s="29" t="str">
        <f>VLOOKUP($D85,Lists!$J$1:$AB$29,19,FALSE)</f>
        <v>-</v>
      </c>
      <c r="Y85" s="29" t="str">
        <f>VLOOKUP($D85,Lists!$J$1:$AC$29,20,FALSE)</f>
        <v>-</v>
      </c>
      <c r="Z85" s="32" t="str">
        <f t="shared" si="1"/>
        <v>1</v>
      </c>
    </row>
    <row r="86" spans="1:26" x14ac:dyDescent="0.25">
      <c r="A86" t="s">
        <v>82</v>
      </c>
      <c r="B86" t="s">
        <v>42</v>
      </c>
      <c r="C86" s="16" t="str">
        <f>A86&amp;B86</f>
        <v>HyacinthsYellow 2</v>
      </c>
      <c r="D86" s="8">
        <v>121</v>
      </c>
      <c r="E86" s="16" t="str">
        <f>A86&amp;D86</f>
        <v>Hyacinths121</v>
      </c>
      <c r="F86" s="29" t="str">
        <f>VLOOKUP($D86,Lists!$J$1:$AB$29,2,FALSE)</f>
        <v>rr-Yy-ss</v>
      </c>
      <c r="G86" t="s">
        <v>95</v>
      </c>
      <c r="H86" s="29" t="str">
        <f>VLOOKUP($D86,Lists!$J$1:$AB$29,3,FALSE)</f>
        <v>Y</v>
      </c>
      <c r="I86" s="29">
        <f>VLOOKUP($D86,Lists!$J$1:$AB$29,4,FALSE)</f>
        <v>2</v>
      </c>
      <c r="J86" s="29" t="str">
        <f>VLOOKUP($D86,Lists!$J$1:$AB$29,5,FALSE)</f>
        <v>rYs</v>
      </c>
      <c r="K86" s="29">
        <f>VLOOKUP($D86,Lists!$J$1:$AB$29,6,FALSE)</f>
        <v>121</v>
      </c>
      <c r="L86" s="29" t="str">
        <f>VLOOKUP($D86,Lists!$J$1:$AB$29,7,FALSE)</f>
        <v>rys</v>
      </c>
      <c r="M86" s="29">
        <f>VLOOKUP($D86,Lists!$J$1:$AB$29,8,FALSE)</f>
        <v>111</v>
      </c>
      <c r="N86" s="29" t="str">
        <f>VLOOKUP($D86,Lists!$J$1:$AB$29,9,FALSE)</f>
        <v>-</v>
      </c>
      <c r="O86" s="29" t="str">
        <f>VLOOKUP($D86,Lists!$J$1:$AB$29,10,FALSE)</f>
        <v>-</v>
      </c>
      <c r="P86" s="29" t="str">
        <f>VLOOKUP($D86,Lists!$J$1:$AB$29,11,FALSE)</f>
        <v>-</v>
      </c>
      <c r="Q86" s="29" t="str">
        <f>VLOOKUP($D86,Lists!$J$1:$AB$29,12,FALSE)</f>
        <v>-</v>
      </c>
      <c r="R86" s="29" t="str">
        <f>VLOOKUP($D86,Lists!$J$1:$AB$29,13,FALSE)</f>
        <v>-</v>
      </c>
      <c r="S86" s="29" t="str">
        <f>VLOOKUP($D86,Lists!$J$1:$AB$29,14,FALSE)</f>
        <v>-</v>
      </c>
      <c r="T86" s="29" t="str">
        <f>VLOOKUP($D86,Lists!$J$1:$AB$29,15,FALSE)</f>
        <v>-</v>
      </c>
      <c r="U86" s="29" t="str">
        <f>VLOOKUP($D86,Lists!$J$1:$AB$29,16,FALSE)</f>
        <v>-</v>
      </c>
      <c r="V86" s="29" t="str">
        <f>VLOOKUP($D86,Lists!$J$1:$AB$29,17,FALSE)</f>
        <v>-</v>
      </c>
      <c r="W86" s="29" t="str">
        <f>VLOOKUP($D86,Lists!$J$1:$AB$29,18,FALSE)</f>
        <v>-</v>
      </c>
      <c r="X86" s="29" t="str">
        <f>VLOOKUP($D86,Lists!$J$1:$AB$29,19,FALSE)</f>
        <v>-</v>
      </c>
      <c r="Y86" s="29" t="str">
        <f>VLOOKUP($D86,Lists!$J$1:$AC$29,20,FALSE)</f>
        <v>-</v>
      </c>
      <c r="Z86" s="32" t="str">
        <f t="shared" si="1"/>
        <v>2</v>
      </c>
    </row>
    <row r="87" spans="1:26" x14ac:dyDescent="0.25">
      <c r="A87" t="s">
        <v>82</v>
      </c>
      <c r="B87" t="s">
        <v>43</v>
      </c>
      <c r="C87" s="16" t="str">
        <f>A87&amp;B87</f>
        <v>HyacinthsYellow 3</v>
      </c>
      <c r="D87" s="8">
        <v>122</v>
      </c>
      <c r="E87" s="16" t="str">
        <f>A87&amp;D87</f>
        <v>Hyacinths122</v>
      </c>
      <c r="F87" s="29" t="str">
        <f>VLOOKUP($D87,Lists!$J$1:$AB$29,2,FALSE)</f>
        <v>rr-Yy-Ss</v>
      </c>
      <c r="G87" t="s">
        <v>95</v>
      </c>
      <c r="H87" s="29" t="str">
        <f>VLOOKUP($D87,Lists!$J$1:$AB$29,3,FALSE)</f>
        <v>YS</v>
      </c>
      <c r="I87" s="29">
        <f>VLOOKUP($D87,Lists!$J$1:$AB$29,4,FALSE)</f>
        <v>4</v>
      </c>
      <c r="J87" s="29" t="str">
        <f>VLOOKUP($D87,Lists!$J$1:$AB$29,5,FALSE)</f>
        <v>rYS</v>
      </c>
      <c r="K87" s="29">
        <f>VLOOKUP($D87,Lists!$J$1:$AB$29,6,FALSE)</f>
        <v>122</v>
      </c>
      <c r="L87" s="29" t="str">
        <f>VLOOKUP($D87,Lists!$J$1:$AB$29,7,FALSE)</f>
        <v>ryS</v>
      </c>
      <c r="M87" s="29">
        <f>VLOOKUP($D87,Lists!$J$1:$AB$29,8,FALSE)</f>
        <v>112</v>
      </c>
      <c r="N87" s="29" t="str">
        <f>VLOOKUP($D87,Lists!$J$1:$AB$29,9,FALSE)</f>
        <v>rYs</v>
      </c>
      <c r="O87" s="29">
        <f>VLOOKUP($D87,Lists!$J$1:$AB$29,10,FALSE)</f>
        <v>121</v>
      </c>
      <c r="P87" s="29" t="str">
        <f>VLOOKUP($D87,Lists!$J$1:$AB$29,11,FALSE)</f>
        <v>rys</v>
      </c>
      <c r="Q87" s="29">
        <f>VLOOKUP($D87,Lists!$J$1:$AB$29,12,FALSE)</f>
        <v>111</v>
      </c>
      <c r="R87" s="29" t="str">
        <f>VLOOKUP($D87,Lists!$J$1:$AB$29,13,FALSE)</f>
        <v>-</v>
      </c>
      <c r="S87" s="29" t="str">
        <f>VLOOKUP($D87,Lists!$J$1:$AB$29,14,FALSE)</f>
        <v>-</v>
      </c>
      <c r="T87" s="29" t="str">
        <f>VLOOKUP($D87,Lists!$J$1:$AB$29,15,FALSE)</f>
        <v>-</v>
      </c>
      <c r="U87" s="29" t="str">
        <f>VLOOKUP($D87,Lists!$J$1:$AB$29,16,FALSE)</f>
        <v>-</v>
      </c>
      <c r="V87" s="29" t="str">
        <f>VLOOKUP($D87,Lists!$J$1:$AB$29,17,FALSE)</f>
        <v>-</v>
      </c>
      <c r="W87" s="29" t="str">
        <f>VLOOKUP($D87,Lists!$J$1:$AB$29,18,FALSE)</f>
        <v>-</v>
      </c>
      <c r="X87" s="29" t="str">
        <f>VLOOKUP($D87,Lists!$J$1:$AB$29,19,FALSE)</f>
        <v>-</v>
      </c>
      <c r="Y87" s="29" t="str">
        <f>VLOOKUP($D87,Lists!$J$1:$AC$29,20,FALSE)</f>
        <v>-</v>
      </c>
      <c r="Z87" s="32" t="str">
        <f t="shared" si="1"/>
        <v>3</v>
      </c>
    </row>
    <row r="88" spans="1:26" x14ac:dyDescent="0.25">
      <c r="A88" t="s">
        <v>82</v>
      </c>
      <c r="B88" t="s">
        <v>41</v>
      </c>
      <c r="C88" s="16" t="str">
        <f>A88&amp;B88</f>
        <v>HyacinthsWhite 3</v>
      </c>
      <c r="D88" s="8">
        <v>123</v>
      </c>
      <c r="E88" s="16" t="str">
        <f>A88&amp;D88</f>
        <v>Hyacinths123</v>
      </c>
      <c r="F88" s="29" t="str">
        <f>VLOOKUP($D88,Lists!$J$1:$AB$29,2,FALSE)</f>
        <v>rr-Yy-SS</v>
      </c>
      <c r="G88" t="s">
        <v>96</v>
      </c>
      <c r="H88" s="29" t="str">
        <f>VLOOKUP($D88,Lists!$J$1:$AB$29,3,FALSE)</f>
        <v>Y</v>
      </c>
      <c r="I88" s="29">
        <f>VLOOKUP($D88,Lists!$J$1:$AB$29,4,FALSE)</f>
        <v>2</v>
      </c>
      <c r="J88" s="29" t="str">
        <f>VLOOKUP($D88,Lists!$J$1:$AB$29,5,FALSE)</f>
        <v>rYS</v>
      </c>
      <c r="K88" s="29">
        <f>VLOOKUP($D88,Lists!$J$1:$AB$29,6,FALSE)</f>
        <v>122</v>
      </c>
      <c r="L88" s="29" t="str">
        <f>VLOOKUP($D88,Lists!$J$1:$AB$29,7,FALSE)</f>
        <v>ryS</v>
      </c>
      <c r="M88" s="29">
        <f>VLOOKUP($D88,Lists!$J$1:$AB$29,8,FALSE)</f>
        <v>112</v>
      </c>
      <c r="N88" s="29" t="str">
        <f>VLOOKUP($D88,Lists!$J$1:$AB$29,9,FALSE)</f>
        <v>-</v>
      </c>
      <c r="O88" s="29" t="str">
        <f>VLOOKUP($D88,Lists!$J$1:$AB$29,10,FALSE)</f>
        <v>-</v>
      </c>
      <c r="P88" s="29" t="str">
        <f>VLOOKUP($D88,Lists!$J$1:$AB$29,11,FALSE)</f>
        <v>-</v>
      </c>
      <c r="Q88" s="29" t="str">
        <f>VLOOKUP($D88,Lists!$J$1:$AB$29,12,FALSE)</f>
        <v>-</v>
      </c>
      <c r="R88" s="29" t="str">
        <f>VLOOKUP($D88,Lists!$J$1:$AB$29,13,FALSE)</f>
        <v>-</v>
      </c>
      <c r="S88" s="29" t="str">
        <f>VLOOKUP($D88,Lists!$J$1:$AB$29,14,FALSE)</f>
        <v>-</v>
      </c>
      <c r="T88" s="29" t="str">
        <f>VLOOKUP($D88,Lists!$J$1:$AB$29,15,FALSE)</f>
        <v>-</v>
      </c>
      <c r="U88" s="29" t="str">
        <f>VLOOKUP($D88,Lists!$J$1:$AB$29,16,FALSE)</f>
        <v>-</v>
      </c>
      <c r="V88" s="29" t="str">
        <f>VLOOKUP($D88,Lists!$J$1:$AB$29,17,FALSE)</f>
        <v>-</v>
      </c>
      <c r="W88" s="29" t="str">
        <f>VLOOKUP($D88,Lists!$J$1:$AB$29,18,FALSE)</f>
        <v>-</v>
      </c>
      <c r="X88" s="29" t="str">
        <f>VLOOKUP($D88,Lists!$J$1:$AB$29,19,FALSE)</f>
        <v>-</v>
      </c>
      <c r="Y88" s="29" t="str">
        <f>VLOOKUP($D88,Lists!$J$1:$AC$29,20,FALSE)</f>
        <v>-</v>
      </c>
      <c r="Z88" s="32" t="str">
        <f t="shared" si="1"/>
        <v>3</v>
      </c>
    </row>
    <row r="89" spans="1:26" x14ac:dyDescent="0.25">
      <c r="A89" t="s">
        <v>82</v>
      </c>
      <c r="B89" t="s">
        <v>84</v>
      </c>
      <c r="C89" s="16" t="str">
        <f>A89&amp;B89</f>
        <v>HyacinthsYellow Seed</v>
      </c>
      <c r="D89" s="8">
        <v>131</v>
      </c>
      <c r="E89" s="16" t="str">
        <f>A89&amp;D89</f>
        <v>Hyacinths131</v>
      </c>
      <c r="F89" s="29" t="str">
        <f>VLOOKUP($D89,Lists!$J$1:$AB$29,2,FALSE)</f>
        <v>rr-YY-ss</v>
      </c>
      <c r="G89" t="s">
        <v>95</v>
      </c>
      <c r="H89" s="29" t="str">
        <f>VLOOKUP($D89,Lists!$J$1:$AB$29,3,FALSE)</f>
        <v>-</v>
      </c>
      <c r="I89" s="29">
        <f>VLOOKUP($D89,Lists!$J$1:$AB$29,4,FALSE)</f>
        <v>1</v>
      </c>
      <c r="J89" s="29" t="str">
        <f>VLOOKUP($D89,Lists!$J$1:$AB$29,5,FALSE)</f>
        <v>rYs</v>
      </c>
      <c r="K89" s="29">
        <f>VLOOKUP($D89,Lists!$J$1:$AB$29,6,FALSE)</f>
        <v>121</v>
      </c>
      <c r="L89" s="29" t="str">
        <f>VLOOKUP($D89,Lists!$J$1:$AB$29,7,FALSE)</f>
        <v>-</v>
      </c>
      <c r="M89" s="29" t="str">
        <f>VLOOKUP($D89,Lists!$J$1:$AB$29,8,FALSE)</f>
        <v>-</v>
      </c>
      <c r="N89" s="29" t="str">
        <f>VLOOKUP($D89,Lists!$J$1:$AB$29,9,FALSE)</f>
        <v>-</v>
      </c>
      <c r="O89" s="29" t="str">
        <f>VLOOKUP($D89,Lists!$J$1:$AB$29,10,FALSE)</f>
        <v>-</v>
      </c>
      <c r="P89" s="29" t="str">
        <f>VLOOKUP($D89,Lists!$J$1:$AB$29,11,FALSE)</f>
        <v>-</v>
      </c>
      <c r="Q89" s="29" t="str">
        <f>VLOOKUP($D89,Lists!$J$1:$AB$29,12,FALSE)</f>
        <v>-</v>
      </c>
      <c r="R89" s="29" t="str">
        <f>VLOOKUP($D89,Lists!$J$1:$AB$29,13,FALSE)</f>
        <v>-</v>
      </c>
      <c r="S89" s="29" t="str">
        <f>VLOOKUP($D89,Lists!$J$1:$AB$29,14,FALSE)</f>
        <v>-</v>
      </c>
      <c r="T89" s="29" t="str">
        <f>VLOOKUP($D89,Lists!$J$1:$AB$29,15,FALSE)</f>
        <v>-</v>
      </c>
      <c r="U89" s="29" t="str">
        <f>VLOOKUP($D89,Lists!$J$1:$AB$29,16,FALSE)</f>
        <v>-</v>
      </c>
      <c r="V89" s="29" t="str">
        <f>VLOOKUP($D89,Lists!$J$1:$AB$29,17,FALSE)</f>
        <v>-</v>
      </c>
      <c r="W89" s="29" t="str">
        <f>VLOOKUP($D89,Lists!$J$1:$AB$29,18,FALSE)</f>
        <v>-</v>
      </c>
      <c r="X89" s="29" t="str">
        <f>VLOOKUP($D89,Lists!$J$1:$AB$29,19,FALSE)</f>
        <v>-</v>
      </c>
      <c r="Y89" s="29" t="str">
        <f>VLOOKUP($D89,Lists!$J$1:$AC$29,20,FALSE)</f>
        <v>-</v>
      </c>
      <c r="Z89" s="32" t="s">
        <v>141</v>
      </c>
    </row>
    <row r="90" spans="1:26" x14ac:dyDescent="0.25">
      <c r="A90" t="s">
        <v>82</v>
      </c>
      <c r="B90" t="s">
        <v>54</v>
      </c>
      <c r="C90" s="16" t="str">
        <f>A90&amp;B90</f>
        <v>HyacinthsYellow 4</v>
      </c>
      <c r="D90" s="8">
        <v>132</v>
      </c>
      <c r="E90" s="16" t="str">
        <f>A90&amp;D90</f>
        <v>Hyacinths132</v>
      </c>
      <c r="F90" s="29" t="str">
        <f>VLOOKUP($D90,Lists!$J$1:$AB$29,2,FALSE)</f>
        <v>rr-YY-Ss</v>
      </c>
      <c r="G90" t="s">
        <v>95</v>
      </c>
      <c r="H90" s="29" t="str">
        <f>VLOOKUP($D90,Lists!$J$1:$AB$29,3,FALSE)</f>
        <v>S</v>
      </c>
      <c r="I90" s="29">
        <f>VLOOKUP($D90,Lists!$J$1:$AB$29,4,FALSE)</f>
        <v>2</v>
      </c>
      <c r="J90" s="29" t="str">
        <f>VLOOKUP($D90,Lists!$J$1:$AB$29,5,FALSE)</f>
        <v>rYs</v>
      </c>
      <c r="K90" s="29">
        <f>VLOOKUP($D90,Lists!$J$1:$AB$29,6,FALSE)</f>
        <v>121</v>
      </c>
      <c r="L90" s="29" t="str">
        <f>VLOOKUP($D90,Lists!$J$1:$AB$29,7,FALSE)</f>
        <v>rYS</v>
      </c>
      <c r="M90" s="29">
        <f>VLOOKUP($D90,Lists!$J$1:$AB$29,8,FALSE)</f>
        <v>122</v>
      </c>
      <c r="N90" s="29" t="str">
        <f>VLOOKUP($D90,Lists!$J$1:$AB$29,9,FALSE)</f>
        <v>-</v>
      </c>
      <c r="O90" s="29" t="str">
        <f>VLOOKUP($D90,Lists!$J$1:$AB$29,10,FALSE)</f>
        <v>-</v>
      </c>
      <c r="P90" s="29" t="str">
        <f>VLOOKUP($D90,Lists!$J$1:$AB$29,11,FALSE)</f>
        <v>-</v>
      </c>
      <c r="Q90" s="29" t="str">
        <f>VLOOKUP($D90,Lists!$J$1:$AB$29,12,FALSE)</f>
        <v>-</v>
      </c>
      <c r="R90" s="29" t="str">
        <f>VLOOKUP($D90,Lists!$J$1:$AB$29,13,FALSE)</f>
        <v>-</v>
      </c>
      <c r="S90" s="29" t="str">
        <f>VLOOKUP($D90,Lists!$J$1:$AB$29,14,FALSE)</f>
        <v>-</v>
      </c>
      <c r="T90" s="29" t="str">
        <f>VLOOKUP($D90,Lists!$J$1:$AB$29,15,FALSE)</f>
        <v>-</v>
      </c>
      <c r="U90" s="29" t="str">
        <f>VLOOKUP($D90,Lists!$J$1:$AB$29,16,FALSE)</f>
        <v>-</v>
      </c>
      <c r="V90" s="29" t="str">
        <f>VLOOKUP($D90,Lists!$J$1:$AB$29,17,FALSE)</f>
        <v>-</v>
      </c>
      <c r="W90" s="29" t="str">
        <f>VLOOKUP($D90,Lists!$J$1:$AB$29,18,FALSE)</f>
        <v>-</v>
      </c>
      <c r="X90" s="29" t="str">
        <f>VLOOKUP($D90,Lists!$J$1:$AB$29,19,FALSE)</f>
        <v>-</v>
      </c>
      <c r="Y90" s="29" t="str">
        <f>VLOOKUP($D90,Lists!$J$1:$AC$29,20,FALSE)</f>
        <v>-</v>
      </c>
      <c r="Z90" s="32" t="str">
        <f t="shared" si="1"/>
        <v>4</v>
      </c>
    </row>
    <row r="91" spans="1:26" x14ac:dyDescent="0.25">
      <c r="A91" t="s">
        <v>82</v>
      </c>
      <c r="B91" t="s">
        <v>53</v>
      </c>
      <c r="C91" s="16" t="str">
        <f>A91&amp;B91</f>
        <v>HyacinthsYellow 5</v>
      </c>
      <c r="D91" s="8">
        <v>133</v>
      </c>
      <c r="E91" s="16" t="str">
        <f>A91&amp;D91</f>
        <v>Hyacinths133</v>
      </c>
      <c r="F91" s="29" t="str">
        <f>VLOOKUP($D91,Lists!$J$1:$AB$29,2,FALSE)</f>
        <v>rr-YY-SS</v>
      </c>
      <c r="G91" t="s">
        <v>95</v>
      </c>
      <c r="H91" s="29" t="str">
        <f>VLOOKUP($D91,Lists!$J$1:$AB$29,3,FALSE)</f>
        <v>-</v>
      </c>
      <c r="I91" s="29">
        <f>VLOOKUP($D91,Lists!$J$1:$AB$29,4,FALSE)</f>
        <v>1</v>
      </c>
      <c r="J91" s="29" t="str">
        <f>VLOOKUP($D91,Lists!$J$1:$AB$29,5,FALSE)</f>
        <v>rYS</v>
      </c>
      <c r="K91" s="29">
        <f>VLOOKUP($D91,Lists!$J$1:$AB$29,6,FALSE)</f>
        <v>122</v>
      </c>
      <c r="L91" s="29" t="str">
        <f>VLOOKUP($D91,Lists!$J$1:$AB$29,7,FALSE)</f>
        <v>-</v>
      </c>
      <c r="M91" s="29" t="str">
        <f>VLOOKUP($D91,Lists!$J$1:$AB$29,8,FALSE)</f>
        <v>-</v>
      </c>
      <c r="N91" s="29" t="str">
        <f>VLOOKUP($D91,Lists!$J$1:$AB$29,9,FALSE)</f>
        <v>-</v>
      </c>
      <c r="O91" s="29" t="str">
        <f>VLOOKUP($D91,Lists!$J$1:$AB$29,10,FALSE)</f>
        <v>-</v>
      </c>
      <c r="P91" s="29" t="str">
        <f>VLOOKUP($D91,Lists!$J$1:$AB$29,11,FALSE)</f>
        <v>-</v>
      </c>
      <c r="Q91" s="29" t="str">
        <f>VLOOKUP($D91,Lists!$J$1:$AB$29,12,FALSE)</f>
        <v>-</v>
      </c>
      <c r="R91" s="29" t="str">
        <f>VLOOKUP($D91,Lists!$J$1:$AB$29,13,FALSE)</f>
        <v>-</v>
      </c>
      <c r="S91" s="29" t="str">
        <f>VLOOKUP($D91,Lists!$J$1:$AB$29,14,FALSE)</f>
        <v>-</v>
      </c>
      <c r="T91" s="29" t="str">
        <f>VLOOKUP($D91,Lists!$J$1:$AB$29,15,FALSE)</f>
        <v>-</v>
      </c>
      <c r="U91" s="29" t="str">
        <f>VLOOKUP($D91,Lists!$J$1:$AB$29,16,FALSE)</f>
        <v>-</v>
      </c>
      <c r="V91" s="29" t="str">
        <f>VLOOKUP($D91,Lists!$J$1:$AB$29,17,FALSE)</f>
        <v>-</v>
      </c>
      <c r="W91" s="29" t="str">
        <f>VLOOKUP($D91,Lists!$J$1:$AB$29,18,FALSE)</f>
        <v>-</v>
      </c>
      <c r="X91" s="29" t="str">
        <f>VLOOKUP($D91,Lists!$J$1:$AB$29,19,FALSE)</f>
        <v>-</v>
      </c>
      <c r="Y91" s="29" t="str">
        <f>VLOOKUP($D91,Lists!$J$1:$AC$29,20,FALSE)</f>
        <v>-</v>
      </c>
      <c r="Z91" s="32" t="str">
        <f t="shared" si="1"/>
        <v>5</v>
      </c>
    </row>
    <row r="92" spans="1:26" x14ac:dyDescent="0.25">
      <c r="A92" t="s">
        <v>82</v>
      </c>
      <c r="B92" t="s">
        <v>87</v>
      </c>
      <c r="C92" s="16" t="str">
        <f>A92&amp;B92</f>
        <v>HyacinthsRed 2</v>
      </c>
      <c r="D92" s="8">
        <v>211</v>
      </c>
      <c r="E92" s="16" t="str">
        <f>A92&amp;D92</f>
        <v>Hyacinths211</v>
      </c>
      <c r="F92" s="29" t="str">
        <f>VLOOKUP($D92,Lists!$J$1:$AB$29,2,FALSE)</f>
        <v>Rr-yy-ss</v>
      </c>
      <c r="G92" t="s">
        <v>94</v>
      </c>
      <c r="H92" s="29" t="str">
        <f>VLOOKUP($D92,Lists!$J$1:$AB$29,3,FALSE)</f>
        <v>R</v>
      </c>
      <c r="I92" s="29">
        <f>VLOOKUP($D92,Lists!$J$1:$AB$29,4,FALSE)</f>
        <v>2</v>
      </c>
      <c r="J92" s="29" t="str">
        <f>VLOOKUP($D92,Lists!$J$1:$AB$29,5,FALSE)</f>
        <v>Rys</v>
      </c>
      <c r="K92" s="29">
        <f>VLOOKUP($D92,Lists!$J$1:$AB$29,6,FALSE)</f>
        <v>211</v>
      </c>
      <c r="L92" s="29" t="str">
        <f>VLOOKUP($D92,Lists!$J$1:$AB$29,7,FALSE)</f>
        <v xml:space="preserve">rys </v>
      </c>
      <c r="M92" s="29">
        <f>VLOOKUP($D92,Lists!$J$1:$AB$29,8,FALSE)</f>
        <v>111</v>
      </c>
      <c r="N92" s="29" t="str">
        <f>VLOOKUP($D92,Lists!$J$1:$AB$29,9,FALSE)</f>
        <v>-</v>
      </c>
      <c r="O92" s="29" t="str">
        <f>VLOOKUP($D92,Lists!$J$1:$AB$29,10,FALSE)</f>
        <v>-</v>
      </c>
      <c r="P92" s="29" t="str">
        <f>VLOOKUP($D92,Lists!$J$1:$AB$29,11,FALSE)</f>
        <v>-</v>
      </c>
      <c r="Q92" s="29" t="str">
        <f>VLOOKUP($D92,Lists!$J$1:$AB$29,12,FALSE)</f>
        <v>-</v>
      </c>
      <c r="R92" s="29" t="str">
        <f>VLOOKUP($D92,Lists!$J$1:$AB$29,13,FALSE)</f>
        <v>-</v>
      </c>
      <c r="S92" s="29" t="str">
        <f>VLOOKUP($D92,Lists!$J$1:$AB$29,14,FALSE)</f>
        <v>-</v>
      </c>
      <c r="T92" s="29" t="str">
        <f>VLOOKUP($D92,Lists!$J$1:$AB$29,15,FALSE)</f>
        <v>-</v>
      </c>
      <c r="U92" s="29" t="str">
        <f>VLOOKUP($D92,Lists!$J$1:$AB$29,16,FALSE)</f>
        <v>-</v>
      </c>
      <c r="V92" s="29" t="str">
        <f>VLOOKUP($D92,Lists!$J$1:$AB$29,17,FALSE)</f>
        <v>-</v>
      </c>
      <c r="W92" s="29" t="str">
        <f>VLOOKUP($D92,Lists!$J$1:$AB$29,18,FALSE)</f>
        <v>-</v>
      </c>
      <c r="X92" s="29" t="str">
        <f>VLOOKUP($D92,Lists!$J$1:$AB$29,19,FALSE)</f>
        <v>-</v>
      </c>
      <c r="Y92" s="29" t="str">
        <f>VLOOKUP($D92,Lists!$J$1:$AC$29,20,FALSE)</f>
        <v>-</v>
      </c>
      <c r="Z92" s="32" t="str">
        <f t="shared" si="1"/>
        <v>2</v>
      </c>
    </row>
    <row r="93" spans="1:26" x14ac:dyDescent="0.25">
      <c r="A93" t="s">
        <v>82</v>
      </c>
      <c r="B93" t="s">
        <v>16</v>
      </c>
      <c r="C93" s="16" t="str">
        <f>A93&amp;B93</f>
        <v>HyacinthsPink 1</v>
      </c>
      <c r="D93" s="8">
        <v>212</v>
      </c>
      <c r="E93" s="16" t="str">
        <f>A93&amp;D93</f>
        <v>Hyacinths212</v>
      </c>
      <c r="F93" s="29" t="str">
        <f>VLOOKUP($D93,Lists!$J$1:$AB$29,2,FALSE)</f>
        <v>Rr-yy-Ss</v>
      </c>
      <c r="G93" t="s">
        <v>98</v>
      </c>
      <c r="H93" s="29" t="str">
        <f>VLOOKUP($D93,Lists!$J$1:$AB$29,3,FALSE)</f>
        <v>RS</v>
      </c>
      <c r="I93" s="29">
        <f>VLOOKUP($D93,Lists!$J$1:$AB$29,4,FALSE)</f>
        <v>4</v>
      </c>
      <c r="J93" s="29" t="str">
        <f>VLOOKUP($D93,Lists!$J$1:$AB$29,5,FALSE)</f>
        <v>RyS</v>
      </c>
      <c r="K93" s="29">
        <f>VLOOKUP($D93,Lists!$J$1:$AB$29,6,FALSE)</f>
        <v>212</v>
      </c>
      <c r="L93" s="29" t="str">
        <f>VLOOKUP($D93,Lists!$J$1:$AB$29,7,FALSE)</f>
        <v>Rys</v>
      </c>
      <c r="M93" s="29">
        <f>VLOOKUP($D93,Lists!$J$1:$AB$29,8,FALSE)</f>
        <v>211</v>
      </c>
      <c r="N93" s="29" t="str">
        <f>VLOOKUP($D93,Lists!$J$1:$AB$29,9,FALSE)</f>
        <v>ryS</v>
      </c>
      <c r="O93" s="29">
        <f>VLOOKUP($D93,Lists!$J$1:$AB$29,10,FALSE)</f>
        <v>112</v>
      </c>
      <c r="P93" s="29" t="str">
        <f>VLOOKUP($D93,Lists!$J$1:$AB$29,11,FALSE)</f>
        <v>rys</v>
      </c>
      <c r="Q93" s="29">
        <f>VLOOKUP($D93,Lists!$J$1:$AB$29,12,FALSE)</f>
        <v>111</v>
      </c>
      <c r="R93" s="29" t="str">
        <f>VLOOKUP($D93,Lists!$J$1:$AB$29,13,FALSE)</f>
        <v>-</v>
      </c>
      <c r="S93" s="29" t="str">
        <f>VLOOKUP($D93,Lists!$J$1:$AB$29,14,FALSE)</f>
        <v>-</v>
      </c>
      <c r="T93" s="29" t="str">
        <f>VLOOKUP($D93,Lists!$J$1:$AB$29,15,FALSE)</f>
        <v>-</v>
      </c>
      <c r="U93" s="29" t="str">
        <f>VLOOKUP($D93,Lists!$J$1:$AB$29,16,FALSE)</f>
        <v>-</v>
      </c>
      <c r="V93" s="29" t="str">
        <f>VLOOKUP($D93,Lists!$J$1:$AB$29,17,FALSE)</f>
        <v>-</v>
      </c>
      <c r="W93" s="29" t="str">
        <f>VLOOKUP($D93,Lists!$J$1:$AB$29,18,FALSE)</f>
        <v>-</v>
      </c>
      <c r="X93" s="29" t="str">
        <f>VLOOKUP($D93,Lists!$J$1:$AB$29,19,FALSE)</f>
        <v>-</v>
      </c>
      <c r="Y93" s="29" t="str">
        <f>VLOOKUP($D93,Lists!$J$1:$AC$29,20,FALSE)</f>
        <v>-</v>
      </c>
      <c r="Z93" s="32" t="str">
        <f t="shared" si="1"/>
        <v>1</v>
      </c>
    </row>
    <row r="94" spans="1:26" x14ac:dyDescent="0.25">
      <c r="A94" t="s">
        <v>82</v>
      </c>
      <c r="B94" t="s">
        <v>52</v>
      </c>
      <c r="C94" s="16" t="str">
        <f>A94&amp;B94</f>
        <v>HyacinthsWhite 4</v>
      </c>
      <c r="D94" s="8">
        <v>213</v>
      </c>
      <c r="E94" s="16" t="str">
        <f>A94&amp;D94</f>
        <v>Hyacinths213</v>
      </c>
      <c r="F94" s="29" t="str">
        <f>VLOOKUP($D94,Lists!$J$1:$AB$29,2,FALSE)</f>
        <v>Rr-yy-SS</v>
      </c>
      <c r="G94" t="s">
        <v>96</v>
      </c>
      <c r="H94" s="29" t="str">
        <f>VLOOKUP($D94,Lists!$J$1:$AB$29,3,FALSE)</f>
        <v>R</v>
      </c>
      <c r="I94" s="29">
        <f>VLOOKUP($D94,Lists!$J$1:$AB$29,4,FALSE)</f>
        <v>2</v>
      </c>
      <c r="J94" s="29" t="str">
        <f>VLOOKUP($D94,Lists!$J$1:$AB$29,5,FALSE)</f>
        <v>RyS</v>
      </c>
      <c r="K94" s="29">
        <f>VLOOKUP($D94,Lists!$J$1:$AB$29,6,FALSE)</f>
        <v>212</v>
      </c>
      <c r="L94" s="29" t="str">
        <f>VLOOKUP($D94,Lists!$J$1:$AB$29,7,FALSE)</f>
        <v>ryS</v>
      </c>
      <c r="M94" s="29">
        <f>VLOOKUP($D94,Lists!$J$1:$AB$29,8,FALSE)</f>
        <v>112</v>
      </c>
      <c r="N94" s="29" t="str">
        <f>VLOOKUP($D94,Lists!$J$1:$AB$29,9,FALSE)</f>
        <v>-</v>
      </c>
      <c r="O94" s="29" t="str">
        <f>VLOOKUP($D94,Lists!$J$1:$AB$29,10,FALSE)</f>
        <v>-</v>
      </c>
      <c r="P94" s="29" t="str">
        <f>VLOOKUP($D94,Lists!$J$1:$AB$29,11,FALSE)</f>
        <v>-</v>
      </c>
      <c r="Q94" s="29" t="str">
        <f>VLOOKUP($D94,Lists!$J$1:$AB$29,12,FALSE)</f>
        <v>-</v>
      </c>
      <c r="R94" s="29" t="str">
        <f>VLOOKUP($D94,Lists!$J$1:$AB$29,13,FALSE)</f>
        <v>-</v>
      </c>
      <c r="S94" s="29" t="str">
        <f>VLOOKUP($D94,Lists!$J$1:$AB$29,14,FALSE)</f>
        <v>-</v>
      </c>
      <c r="T94" s="29" t="str">
        <f>VLOOKUP($D94,Lists!$J$1:$AB$29,15,FALSE)</f>
        <v>-</v>
      </c>
      <c r="U94" s="29" t="str">
        <f>VLOOKUP($D94,Lists!$J$1:$AB$29,16,FALSE)</f>
        <v>-</v>
      </c>
      <c r="V94" s="29" t="str">
        <f>VLOOKUP($D94,Lists!$J$1:$AB$29,17,FALSE)</f>
        <v>-</v>
      </c>
      <c r="W94" s="29" t="str">
        <f>VLOOKUP($D94,Lists!$J$1:$AB$29,18,FALSE)</f>
        <v>-</v>
      </c>
      <c r="X94" s="29" t="str">
        <f>VLOOKUP($D94,Lists!$J$1:$AB$29,19,FALSE)</f>
        <v>-</v>
      </c>
      <c r="Y94" s="29" t="str">
        <f>VLOOKUP($D94,Lists!$J$1:$AC$29,20,FALSE)</f>
        <v>-</v>
      </c>
      <c r="Z94" s="32" t="str">
        <f t="shared" si="1"/>
        <v>4</v>
      </c>
    </row>
    <row r="95" spans="1:26" x14ac:dyDescent="0.25">
      <c r="A95" t="s">
        <v>82</v>
      </c>
      <c r="B95" t="s">
        <v>18</v>
      </c>
      <c r="C95" s="16" t="str">
        <f>A95&amp;B95</f>
        <v>HyacinthsOrange 1</v>
      </c>
      <c r="D95" s="8">
        <v>221</v>
      </c>
      <c r="E95" s="16" t="str">
        <f>A95&amp;D95</f>
        <v>Hyacinths221</v>
      </c>
      <c r="F95" s="29" t="str">
        <f>VLOOKUP($D95,Lists!$J$1:$AB$29,2,FALSE)</f>
        <v>Rr-Yy-ss</v>
      </c>
      <c r="G95" t="s">
        <v>97</v>
      </c>
      <c r="H95" s="29" t="str">
        <f>VLOOKUP($D95,Lists!$J$1:$AB$29,3,FALSE)</f>
        <v>RY</v>
      </c>
      <c r="I95" s="29">
        <f>VLOOKUP($D95,Lists!$J$1:$AB$29,4,FALSE)</f>
        <v>4</v>
      </c>
      <c r="J95" s="29" t="str">
        <f>VLOOKUP($D95,Lists!$J$1:$AB$29,5,FALSE)</f>
        <v>RYs</v>
      </c>
      <c r="K95" s="29">
        <f>VLOOKUP($D95,Lists!$J$1:$AB$29,6,FALSE)</f>
        <v>221</v>
      </c>
      <c r="L95" s="29" t="str">
        <f>VLOOKUP($D95,Lists!$J$1:$AB$29,7,FALSE)</f>
        <v>Rys</v>
      </c>
      <c r="M95" s="29">
        <f>VLOOKUP($D95,Lists!$J$1:$AB$29,8,FALSE)</f>
        <v>211</v>
      </c>
      <c r="N95" s="29" t="str">
        <f>VLOOKUP($D95,Lists!$J$1:$AB$29,9,FALSE)</f>
        <v>rYs</v>
      </c>
      <c r="O95" s="29">
        <f>VLOOKUP($D95,Lists!$J$1:$AB$29,10,FALSE)</f>
        <v>121</v>
      </c>
      <c r="P95" s="29" t="str">
        <f>VLOOKUP($D95,Lists!$J$1:$AB$29,11,FALSE)</f>
        <v>rys</v>
      </c>
      <c r="Q95" s="29">
        <f>VLOOKUP($D95,Lists!$J$1:$AB$29,12,FALSE)</f>
        <v>111</v>
      </c>
      <c r="R95" s="29" t="str">
        <f>VLOOKUP($D95,Lists!$J$1:$AB$29,13,FALSE)</f>
        <v>-</v>
      </c>
      <c r="S95" s="29" t="str">
        <f>VLOOKUP($D95,Lists!$J$1:$AB$29,14,FALSE)</f>
        <v>-</v>
      </c>
      <c r="T95" s="29" t="str">
        <f>VLOOKUP($D95,Lists!$J$1:$AB$29,15,FALSE)</f>
        <v>-</v>
      </c>
      <c r="U95" s="29" t="str">
        <f>VLOOKUP($D95,Lists!$J$1:$AB$29,16,FALSE)</f>
        <v>-</v>
      </c>
      <c r="V95" s="29" t="str">
        <f>VLOOKUP($D95,Lists!$J$1:$AB$29,17,FALSE)</f>
        <v>-</v>
      </c>
      <c r="W95" s="29" t="str">
        <f>VLOOKUP($D95,Lists!$J$1:$AB$29,18,FALSE)</f>
        <v>-</v>
      </c>
      <c r="X95" s="29" t="str">
        <f>VLOOKUP($D95,Lists!$J$1:$AB$29,19,FALSE)</f>
        <v>-</v>
      </c>
      <c r="Y95" s="29" t="str">
        <f>VLOOKUP($D95,Lists!$J$1:$AC$29,20,FALSE)</f>
        <v>-</v>
      </c>
      <c r="Z95" s="32" t="str">
        <f t="shared" si="1"/>
        <v>1</v>
      </c>
    </row>
    <row r="96" spans="1:26" x14ac:dyDescent="0.25">
      <c r="A96" t="s">
        <v>82</v>
      </c>
      <c r="B96" t="s">
        <v>92</v>
      </c>
      <c r="C96" s="16" t="str">
        <f>A96&amp;B96</f>
        <v>HyacinthsYellow 6</v>
      </c>
      <c r="D96" s="8">
        <v>222</v>
      </c>
      <c r="E96" s="16" t="str">
        <f>A96&amp;D96</f>
        <v>Hyacinths222</v>
      </c>
      <c r="F96" s="29" t="str">
        <f>VLOOKUP($D96,Lists!$J$1:$AB$29,2,FALSE)</f>
        <v>Rr-Yy-Ss</v>
      </c>
      <c r="G96" t="s">
        <v>95</v>
      </c>
      <c r="H96" s="29" t="str">
        <f>VLOOKUP($D96,Lists!$J$1:$AB$29,3,FALSE)</f>
        <v>RYS</v>
      </c>
      <c r="I96" s="29">
        <f>VLOOKUP($D96,Lists!$J$1:$AB$29,4,FALSE)</f>
        <v>8</v>
      </c>
      <c r="J96" s="29" t="str">
        <f>VLOOKUP($D96,Lists!$J$1:$AB$29,5,FALSE)</f>
        <v>RYS</v>
      </c>
      <c r="K96" s="29">
        <f>VLOOKUP($D96,Lists!$J$1:$AB$29,6,FALSE)</f>
        <v>222</v>
      </c>
      <c r="L96" s="29" t="str">
        <f>VLOOKUP($D96,Lists!$J$1:$AB$29,7,FALSE)</f>
        <v>RyS</v>
      </c>
      <c r="M96" s="29">
        <f>VLOOKUP($D96,Lists!$J$1:$AB$29,8,FALSE)</f>
        <v>212</v>
      </c>
      <c r="N96" s="29" t="str">
        <f>VLOOKUP($D96,Lists!$J$1:$AB$29,9,FALSE)</f>
        <v>RYs</v>
      </c>
      <c r="O96" s="29">
        <f>VLOOKUP($D96,Lists!$J$1:$AB$29,10,FALSE)</f>
        <v>221</v>
      </c>
      <c r="P96" s="29" t="str">
        <f>VLOOKUP($D96,Lists!$J$1:$AB$29,11,FALSE)</f>
        <v>Rys</v>
      </c>
      <c r="Q96" s="29">
        <f>VLOOKUP($D96,Lists!$J$1:$AB$29,12,FALSE)</f>
        <v>211</v>
      </c>
      <c r="R96" s="29" t="str">
        <f>VLOOKUP($D96,Lists!$J$1:$AB$29,13,FALSE)</f>
        <v>rYS</v>
      </c>
      <c r="S96" s="29">
        <f>VLOOKUP($D96,Lists!$J$1:$AB$29,14,FALSE)</f>
        <v>122</v>
      </c>
      <c r="T96" s="29" t="str">
        <f>VLOOKUP($D96,Lists!$J$1:$AB$29,15,FALSE)</f>
        <v>ryS</v>
      </c>
      <c r="U96" s="29">
        <f>VLOOKUP($D96,Lists!$J$1:$AB$29,16,FALSE)</f>
        <v>112</v>
      </c>
      <c r="V96" s="29" t="str">
        <f>VLOOKUP($D96,Lists!$J$1:$AB$29,17,FALSE)</f>
        <v>rYs</v>
      </c>
      <c r="W96" s="29">
        <f>VLOOKUP($D96,Lists!$J$1:$AB$29,18,FALSE)</f>
        <v>121</v>
      </c>
      <c r="X96" s="29" t="str">
        <f>VLOOKUP($D96,Lists!$J$1:$AB$29,19,FALSE)</f>
        <v>rys</v>
      </c>
      <c r="Y96" s="29">
        <f>VLOOKUP($D96,Lists!$J$1:$AC$29,20,FALSE)</f>
        <v>111</v>
      </c>
      <c r="Z96" s="32" t="str">
        <f t="shared" si="1"/>
        <v>6</v>
      </c>
    </row>
    <row r="97" spans="1:26" x14ac:dyDescent="0.25">
      <c r="A97" t="s">
        <v>82</v>
      </c>
      <c r="B97" t="s">
        <v>93</v>
      </c>
      <c r="C97" s="16" t="str">
        <f>A97&amp;B97</f>
        <v>HyacinthsYellow 7</v>
      </c>
      <c r="D97" s="8">
        <v>223</v>
      </c>
      <c r="E97" s="16" t="str">
        <f>A97&amp;D97</f>
        <v>Hyacinths223</v>
      </c>
      <c r="F97" s="29" t="str">
        <f>VLOOKUP($D97,Lists!$J$1:$AB$29,2,FALSE)</f>
        <v>Rr-Yy-SS</v>
      </c>
      <c r="G97" t="s">
        <v>95</v>
      </c>
      <c r="H97" s="29" t="str">
        <f>VLOOKUP($D97,Lists!$J$1:$AB$29,3,FALSE)</f>
        <v>RY</v>
      </c>
      <c r="I97" s="29">
        <f>VLOOKUP($D97,Lists!$J$1:$AB$29,4,FALSE)</f>
        <v>4</v>
      </c>
      <c r="J97" s="29" t="str">
        <f>VLOOKUP($D97,Lists!$J$1:$AB$29,5,FALSE)</f>
        <v>RYS</v>
      </c>
      <c r="K97" s="29">
        <f>VLOOKUP($D97,Lists!$J$1:$AB$29,6,FALSE)</f>
        <v>222</v>
      </c>
      <c r="L97" s="29" t="str">
        <f>VLOOKUP($D97,Lists!$J$1:$AB$29,7,FALSE)</f>
        <v>RyS</v>
      </c>
      <c r="M97" s="29">
        <f>VLOOKUP($D97,Lists!$J$1:$AB$29,8,FALSE)</f>
        <v>212</v>
      </c>
      <c r="N97" s="29" t="str">
        <f>VLOOKUP($D97,Lists!$J$1:$AB$29,9,FALSE)</f>
        <v>rYS</v>
      </c>
      <c r="O97" s="29">
        <f>VLOOKUP($D97,Lists!$J$1:$AB$29,10,FALSE)</f>
        <v>122</v>
      </c>
      <c r="P97" s="29" t="str">
        <f>VLOOKUP($D97,Lists!$J$1:$AB$29,11,FALSE)</f>
        <v>ryS</v>
      </c>
      <c r="Q97" s="29">
        <f>VLOOKUP($D97,Lists!$J$1:$AB$29,12,FALSE)</f>
        <v>112</v>
      </c>
      <c r="R97" s="29" t="str">
        <f>VLOOKUP($D97,Lists!$J$1:$AB$29,13,FALSE)</f>
        <v>-</v>
      </c>
      <c r="S97" s="29" t="str">
        <f>VLOOKUP($D97,Lists!$J$1:$AB$29,14,FALSE)</f>
        <v>-</v>
      </c>
      <c r="T97" s="29" t="str">
        <f>VLOOKUP($D97,Lists!$J$1:$AB$29,15,FALSE)</f>
        <v>-</v>
      </c>
      <c r="U97" s="29" t="str">
        <f>VLOOKUP($D97,Lists!$J$1:$AB$29,16,FALSE)</f>
        <v>-</v>
      </c>
      <c r="V97" s="29" t="str">
        <f>VLOOKUP($D97,Lists!$J$1:$AB$29,17,FALSE)</f>
        <v>-</v>
      </c>
      <c r="W97" s="29" t="str">
        <f>VLOOKUP($D97,Lists!$J$1:$AB$29,18,FALSE)</f>
        <v>-</v>
      </c>
      <c r="X97" s="29" t="str">
        <f>VLOOKUP($D97,Lists!$J$1:$AB$29,19,FALSE)</f>
        <v>-</v>
      </c>
      <c r="Y97" s="29" t="str">
        <f>VLOOKUP($D97,Lists!$J$1:$AC$29,20,FALSE)</f>
        <v>-</v>
      </c>
      <c r="Z97" s="32" t="str">
        <f t="shared" si="1"/>
        <v>7</v>
      </c>
    </row>
    <row r="98" spans="1:26" x14ac:dyDescent="0.25">
      <c r="A98" t="s">
        <v>82</v>
      </c>
      <c r="B98" t="s">
        <v>19</v>
      </c>
      <c r="C98" s="16" t="str">
        <f>A98&amp;B98</f>
        <v>HyacinthsOrange 2</v>
      </c>
      <c r="D98" s="8">
        <v>231</v>
      </c>
      <c r="E98" s="16" t="str">
        <f>A98&amp;D98</f>
        <v>Hyacinths231</v>
      </c>
      <c r="F98" s="29" t="str">
        <f>VLOOKUP($D98,Lists!$J$1:$AB$29,2,FALSE)</f>
        <v>Rr-YY-ss</v>
      </c>
      <c r="G98" t="s">
        <v>97</v>
      </c>
      <c r="H98" s="29" t="str">
        <f>VLOOKUP($D98,Lists!$J$1:$AB$29,3,FALSE)</f>
        <v>R</v>
      </c>
      <c r="I98" s="29">
        <f>VLOOKUP($D98,Lists!$J$1:$AB$29,4,FALSE)</f>
        <v>2</v>
      </c>
      <c r="J98" s="29" t="str">
        <f>VLOOKUP($D98,Lists!$J$1:$AB$29,5,FALSE)</f>
        <v>Rys</v>
      </c>
      <c r="K98" s="29">
        <f>VLOOKUP($D98,Lists!$J$1:$AB$29,6,FALSE)</f>
        <v>211</v>
      </c>
      <c r="L98" s="29" t="str">
        <f>VLOOKUP($D98,Lists!$J$1:$AB$29,7,FALSE)</f>
        <v>rYs</v>
      </c>
      <c r="M98" s="29">
        <f>VLOOKUP($D98,Lists!$J$1:$AB$29,8,FALSE)</f>
        <v>121</v>
      </c>
      <c r="N98" s="29" t="str">
        <f>VLOOKUP($D98,Lists!$J$1:$AB$29,9,FALSE)</f>
        <v>-</v>
      </c>
      <c r="O98" s="29" t="str">
        <f>VLOOKUP($D98,Lists!$J$1:$AB$29,10,FALSE)</f>
        <v>-</v>
      </c>
      <c r="P98" s="29" t="str">
        <f>VLOOKUP($D98,Lists!$J$1:$AB$29,11,FALSE)</f>
        <v>-</v>
      </c>
      <c r="Q98" s="29" t="str">
        <f>VLOOKUP($D98,Lists!$J$1:$AB$29,12,FALSE)</f>
        <v>-</v>
      </c>
      <c r="R98" s="29" t="str">
        <f>VLOOKUP($D98,Lists!$J$1:$AB$29,13,FALSE)</f>
        <v>-</v>
      </c>
      <c r="S98" s="29" t="str">
        <f>VLOOKUP($D98,Lists!$J$1:$AB$29,14,FALSE)</f>
        <v>-</v>
      </c>
      <c r="T98" s="29" t="str">
        <f>VLOOKUP($D98,Lists!$J$1:$AB$29,15,FALSE)</f>
        <v>-</v>
      </c>
      <c r="U98" s="29" t="str">
        <f>VLOOKUP($D98,Lists!$J$1:$AB$29,16,FALSE)</f>
        <v>-</v>
      </c>
      <c r="V98" s="29" t="str">
        <f>VLOOKUP($D98,Lists!$J$1:$AB$29,17,FALSE)</f>
        <v>-</v>
      </c>
      <c r="W98" s="29" t="str">
        <f>VLOOKUP($D98,Lists!$J$1:$AB$29,18,FALSE)</f>
        <v>-</v>
      </c>
      <c r="X98" s="29" t="str">
        <f>VLOOKUP($D98,Lists!$J$1:$AB$29,19,FALSE)</f>
        <v>-</v>
      </c>
      <c r="Y98" s="29" t="str">
        <f>VLOOKUP($D98,Lists!$J$1:$AC$29,20,FALSE)</f>
        <v>-</v>
      </c>
      <c r="Z98" s="32" t="str">
        <f t="shared" si="1"/>
        <v>2</v>
      </c>
    </row>
    <row r="99" spans="1:26" x14ac:dyDescent="0.25">
      <c r="A99" t="s">
        <v>82</v>
      </c>
      <c r="B99" t="s">
        <v>110</v>
      </c>
      <c r="C99" s="16" t="str">
        <f>A99&amp;B99</f>
        <v>HyacinthsYellow 8</v>
      </c>
      <c r="D99" s="8">
        <v>232</v>
      </c>
      <c r="E99" s="16" t="str">
        <f>A99&amp;D99</f>
        <v>Hyacinths232</v>
      </c>
      <c r="F99" s="29" t="str">
        <f>VLOOKUP($D99,Lists!$J$1:$AB$29,2,FALSE)</f>
        <v>Rr-YY-Ss</v>
      </c>
      <c r="G99" t="s">
        <v>95</v>
      </c>
      <c r="H99" s="29" t="str">
        <f>VLOOKUP($D99,Lists!$J$1:$AB$29,3,FALSE)</f>
        <v>RS</v>
      </c>
      <c r="I99" s="29">
        <f>VLOOKUP($D99,Lists!$J$1:$AB$29,4,FALSE)</f>
        <v>4</v>
      </c>
      <c r="J99" s="29" t="str">
        <f>VLOOKUP($D99,Lists!$J$1:$AB$29,5,FALSE)</f>
        <v>RYS</v>
      </c>
      <c r="K99" s="29">
        <f>VLOOKUP($D99,Lists!$J$1:$AB$29,6,FALSE)</f>
        <v>222</v>
      </c>
      <c r="L99" s="29" t="str">
        <f>VLOOKUP($D99,Lists!$J$1:$AB$29,7,FALSE)</f>
        <v>Rys</v>
      </c>
      <c r="M99" s="29">
        <f>VLOOKUP($D99,Lists!$J$1:$AB$29,8,FALSE)</f>
        <v>211</v>
      </c>
      <c r="N99" s="29" t="str">
        <f>VLOOKUP($D99,Lists!$J$1:$AB$29,9,FALSE)</f>
        <v>rYS</v>
      </c>
      <c r="O99" s="29">
        <f>VLOOKUP($D99,Lists!$J$1:$AB$29,10,FALSE)</f>
        <v>122</v>
      </c>
      <c r="P99" s="29" t="str">
        <f>VLOOKUP($D99,Lists!$J$1:$AB$29,11,FALSE)</f>
        <v>rYs</v>
      </c>
      <c r="Q99" s="29">
        <f>VLOOKUP($D99,Lists!$J$1:$AB$29,12,FALSE)</f>
        <v>121</v>
      </c>
      <c r="R99" s="29" t="str">
        <f>VLOOKUP($D99,Lists!$J$1:$AB$29,13,FALSE)</f>
        <v>-</v>
      </c>
      <c r="S99" s="29" t="str">
        <f>VLOOKUP($D99,Lists!$J$1:$AB$29,14,FALSE)</f>
        <v>-</v>
      </c>
      <c r="T99" s="29" t="str">
        <f>VLOOKUP($D99,Lists!$J$1:$AB$29,15,FALSE)</f>
        <v>-</v>
      </c>
      <c r="U99" s="29" t="str">
        <f>VLOOKUP($D99,Lists!$J$1:$AB$29,16,FALSE)</f>
        <v>-</v>
      </c>
      <c r="V99" s="29" t="str">
        <f>VLOOKUP($D99,Lists!$J$1:$AB$29,17,FALSE)</f>
        <v>-</v>
      </c>
      <c r="W99" s="29" t="str">
        <f>VLOOKUP($D99,Lists!$J$1:$AB$29,18,FALSE)</f>
        <v>-</v>
      </c>
      <c r="X99" s="29" t="str">
        <f>VLOOKUP($D99,Lists!$J$1:$AB$29,19,FALSE)</f>
        <v>-</v>
      </c>
      <c r="Y99" s="29" t="str">
        <f>VLOOKUP($D99,Lists!$J$1:$AC$29,20,FALSE)</f>
        <v>-</v>
      </c>
      <c r="Z99" s="32" t="str">
        <f t="shared" si="1"/>
        <v>8</v>
      </c>
    </row>
    <row r="100" spans="1:26" x14ac:dyDescent="0.25">
      <c r="A100" t="s">
        <v>82</v>
      </c>
      <c r="B100" t="s">
        <v>113</v>
      </c>
      <c r="C100" s="16" t="str">
        <f>A100&amp;B100</f>
        <v>HyacinthsYellow 9</v>
      </c>
      <c r="D100" s="8">
        <v>233</v>
      </c>
      <c r="E100" s="16" t="str">
        <f>A100&amp;D100</f>
        <v>Hyacinths233</v>
      </c>
      <c r="F100" s="29" t="str">
        <f>VLOOKUP($D100,Lists!$J$1:$AB$29,2,FALSE)</f>
        <v>Rr-YY-SS</v>
      </c>
      <c r="G100" t="s">
        <v>95</v>
      </c>
      <c r="H100" s="29" t="str">
        <f>VLOOKUP($D100,Lists!$J$1:$AB$29,3,FALSE)</f>
        <v>R</v>
      </c>
      <c r="I100" s="29">
        <f>VLOOKUP($D100,Lists!$J$1:$AB$29,4,FALSE)</f>
        <v>2</v>
      </c>
      <c r="J100" s="29" t="str">
        <f>VLOOKUP($D100,Lists!$J$1:$AB$29,5,FALSE)</f>
        <v>RYS</v>
      </c>
      <c r="K100" s="29">
        <f>VLOOKUP($D100,Lists!$J$1:$AB$29,6,FALSE)</f>
        <v>222</v>
      </c>
      <c r="L100" s="29" t="str">
        <f>VLOOKUP($D100,Lists!$J$1:$AB$29,7,FALSE)</f>
        <v>rYS</v>
      </c>
      <c r="M100" s="29">
        <f>VLOOKUP($D100,Lists!$J$1:$AB$29,8,FALSE)</f>
        <v>122</v>
      </c>
      <c r="N100" s="29" t="str">
        <f>VLOOKUP($D100,Lists!$J$1:$AB$29,9,FALSE)</f>
        <v>-</v>
      </c>
      <c r="O100" s="29" t="str">
        <f>VLOOKUP($D100,Lists!$J$1:$AB$29,10,FALSE)</f>
        <v>-</v>
      </c>
      <c r="P100" s="29" t="str">
        <f>VLOOKUP($D100,Lists!$J$1:$AB$29,11,FALSE)</f>
        <v>-</v>
      </c>
      <c r="Q100" s="29" t="str">
        <f>VLOOKUP($D100,Lists!$J$1:$AB$29,12,FALSE)</f>
        <v>-</v>
      </c>
      <c r="R100" s="29" t="str">
        <f>VLOOKUP($D100,Lists!$J$1:$AB$29,13,FALSE)</f>
        <v>-</v>
      </c>
      <c r="S100" s="29" t="str">
        <f>VLOOKUP($D100,Lists!$J$1:$AB$29,14,FALSE)</f>
        <v>-</v>
      </c>
      <c r="T100" s="29" t="str">
        <f>VLOOKUP($D100,Lists!$J$1:$AB$29,15,FALSE)</f>
        <v>-</v>
      </c>
      <c r="U100" s="29" t="str">
        <f>VLOOKUP($D100,Lists!$J$1:$AB$29,16,FALSE)</f>
        <v>-</v>
      </c>
      <c r="V100" s="29" t="str">
        <f>VLOOKUP($D100,Lists!$J$1:$AB$29,17,FALSE)</f>
        <v>-</v>
      </c>
      <c r="W100" s="29" t="str">
        <f>VLOOKUP($D100,Lists!$J$1:$AB$29,18,FALSE)</f>
        <v>-</v>
      </c>
      <c r="X100" s="29" t="str">
        <f>VLOOKUP($D100,Lists!$J$1:$AB$29,19,FALSE)</f>
        <v>-</v>
      </c>
      <c r="Y100" s="29" t="str">
        <f>VLOOKUP($D100,Lists!$J$1:$AC$29,20,FALSE)</f>
        <v>-</v>
      </c>
      <c r="Z100" s="32" t="str">
        <f t="shared" si="1"/>
        <v>9</v>
      </c>
    </row>
    <row r="101" spans="1:26" x14ac:dyDescent="0.25">
      <c r="A101" t="s">
        <v>82</v>
      </c>
      <c r="B101" t="s">
        <v>58</v>
      </c>
      <c r="C101" s="16" t="str">
        <f>A101&amp;B101</f>
        <v>HyacinthsRed 3</v>
      </c>
      <c r="D101" s="8">
        <v>311</v>
      </c>
      <c r="E101" s="16" t="str">
        <f>A101&amp;D101</f>
        <v>Hyacinths311</v>
      </c>
      <c r="F101" s="29" t="str">
        <f>VLOOKUP($D101,Lists!$J$1:$AB$29,2,FALSE)</f>
        <v>RR-yy-ss</v>
      </c>
      <c r="G101" t="s">
        <v>94</v>
      </c>
      <c r="H101" s="29" t="str">
        <f>VLOOKUP($D101,Lists!$J$1:$AB$29,3,FALSE)</f>
        <v>-</v>
      </c>
      <c r="I101" s="29">
        <f>VLOOKUP($D101,Lists!$J$1:$AB$29,4,FALSE)</f>
        <v>1</v>
      </c>
      <c r="J101" s="29" t="str">
        <f>VLOOKUP($D101,Lists!$J$1:$AB$29,5,FALSE)</f>
        <v>Rys</v>
      </c>
      <c r="K101" s="29">
        <f>VLOOKUP($D101,Lists!$J$1:$AB$29,6,FALSE)</f>
        <v>211</v>
      </c>
      <c r="L101" s="29" t="str">
        <f>VLOOKUP($D101,Lists!$J$1:$AB$29,7,FALSE)</f>
        <v>-</v>
      </c>
      <c r="M101" s="29" t="str">
        <f>VLOOKUP($D101,Lists!$J$1:$AB$29,8,FALSE)</f>
        <v>-</v>
      </c>
      <c r="N101" s="29" t="str">
        <f>VLOOKUP($D101,Lists!$J$1:$AB$29,9,FALSE)</f>
        <v>-</v>
      </c>
      <c r="O101" s="29" t="str">
        <f>VLOOKUP($D101,Lists!$J$1:$AB$29,10,FALSE)</f>
        <v>-</v>
      </c>
      <c r="P101" s="29" t="str">
        <f>VLOOKUP($D101,Lists!$J$1:$AB$29,11,FALSE)</f>
        <v>-</v>
      </c>
      <c r="Q101" s="29" t="str">
        <f>VLOOKUP($D101,Lists!$J$1:$AB$29,12,FALSE)</f>
        <v>-</v>
      </c>
      <c r="R101" s="29" t="str">
        <f>VLOOKUP($D101,Lists!$J$1:$AB$29,13,FALSE)</f>
        <v>-</v>
      </c>
      <c r="S101" s="29" t="str">
        <f>VLOOKUP($D101,Lists!$J$1:$AB$29,14,FALSE)</f>
        <v>-</v>
      </c>
      <c r="T101" s="29" t="str">
        <f>VLOOKUP($D101,Lists!$J$1:$AB$29,15,FALSE)</f>
        <v>-</v>
      </c>
      <c r="U101" s="29" t="str">
        <f>VLOOKUP($D101,Lists!$J$1:$AB$29,16,FALSE)</f>
        <v>-</v>
      </c>
      <c r="V101" s="29" t="str">
        <f>VLOOKUP($D101,Lists!$J$1:$AB$29,17,FALSE)</f>
        <v>-</v>
      </c>
      <c r="W101" s="29" t="str">
        <f>VLOOKUP($D101,Lists!$J$1:$AB$29,18,FALSE)</f>
        <v>-</v>
      </c>
      <c r="X101" s="29" t="str">
        <f>VLOOKUP($D101,Lists!$J$1:$AB$29,19,FALSE)</f>
        <v>-</v>
      </c>
      <c r="Y101" s="29" t="str">
        <f>VLOOKUP($D101,Lists!$J$1:$AC$29,20,FALSE)</f>
        <v>-</v>
      </c>
      <c r="Z101" s="32" t="str">
        <f t="shared" si="1"/>
        <v>3</v>
      </c>
    </row>
    <row r="102" spans="1:26" x14ac:dyDescent="0.25">
      <c r="A102" t="s">
        <v>82</v>
      </c>
      <c r="B102" t="s">
        <v>77</v>
      </c>
      <c r="C102" s="16" t="str">
        <f>A102&amp;B102</f>
        <v>HyacinthsRed Seed</v>
      </c>
      <c r="D102" s="8">
        <v>312</v>
      </c>
      <c r="E102" s="16" t="str">
        <f>A102&amp;D102</f>
        <v>Hyacinths312</v>
      </c>
      <c r="F102" s="29" t="str">
        <f>VLOOKUP($D102,Lists!$J$1:$AB$29,2,FALSE)</f>
        <v>RR-yy-Ss</v>
      </c>
      <c r="G102" t="s">
        <v>94</v>
      </c>
      <c r="H102" s="29" t="str">
        <f>VLOOKUP($D102,Lists!$J$1:$AB$29,3,FALSE)</f>
        <v>S</v>
      </c>
      <c r="I102" s="29">
        <f>VLOOKUP($D102,Lists!$J$1:$AB$29,4,FALSE)</f>
        <v>2</v>
      </c>
      <c r="J102" s="29" t="str">
        <f>VLOOKUP($D102,Lists!$J$1:$AB$29,5,FALSE)</f>
        <v>RyS</v>
      </c>
      <c r="K102" s="29">
        <f>VLOOKUP($D102,Lists!$J$1:$AB$29,6,FALSE)</f>
        <v>212</v>
      </c>
      <c r="L102" s="29" t="str">
        <f>VLOOKUP($D102,Lists!$J$1:$AB$29,7,FALSE)</f>
        <v>Rys</v>
      </c>
      <c r="M102" s="29">
        <f>VLOOKUP($D102,Lists!$J$1:$AB$29,8,FALSE)</f>
        <v>211</v>
      </c>
      <c r="N102" s="29" t="str">
        <f>VLOOKUP($D102,Lists!$J$1:$AB$29,9,FALSE)</f>
        <v>-</v>
      </c>
      <c r="O102" s="29" t="str">
        <f>VLOOKUP($D102,Lists!$J$1:$AB$29,10,FALSE)</f>
        <v>-</v>
      </c>
      <c r="P102" s="29" t="str">
        <f>VLOOKUP($D102,Lists!$J$1:$AB$29,11,FALSE)</f>
        <v>-</v>
      </c>
      <c r="Q102" s="29" t="str">
        <f>VLOOKUP($D102,Lists!$J$1:$AB$29,12,FALSE)</f>
        <v>-</v>
      </c>
      <c r="R102" s="29" t="str">
        <f>VLOOKUP($D102,Lists!$J$1:$AB$29,13,FALSE)</f>
        <v>-</v>
      </c>
      <c r="S102" s="29" t="str">
        <f>VLOOKUP($D102,Lists!$J$1:$AB$29,14,FALSE)</f>
        <v>-</v>
      </c>
      <c r="T102" s="29" t="str">
        <f>VLOOKUP($D102,Lists!$J$1:$AB$29,15,FALSE)</f>
        <v>-</v>
      </c>
      <c r="U102" s="29" t="str">
        <f>VLOOKUP($D102,Lists!$J$1:$AB$29,16,FALSE)</f>
        <v>-</v>
      </c>
      <c r="V102" s="29" t="str">
        <f>VLOOKUP($D102,Lists!$J$1:$AB$29,17,FALSE)</f>
        <v>-</v>
      </c>
      <c r="W102" s="29" t="str">
        <f>VLOOKUP($D102,Lists!$J$1:$AB$29,18,FALSE)</f>
        <v>-</v>
      </c>
      <c r="X102" s="29" t="str">
        <f>VLOOKUP($D102,Lists!$J$1:$AB$29,19,FALSE)</f>
        <v>-</v>
      </c>
      <c r="Y102" s="29" t="str">
        <f>VLOOKUP($D102,Lists!$J$1:$AC$29,20,FALSE)</f>
        <v>-</v>
      </c>
      <c r="Z102" s="32" t="s">
        <v>141</v>
      </c>
    </row>
    <row r="103" spans="1:26" x14ac:dyDescent="0.25">
      <c r="A103" t="s">
        <v>82</v>
      </c>
      <c r="B103" t="s">
        <v>57</v>
      </c>
      <c r="C103" s="16" t="str">
        <f>A103&amp;B103</f>
        <v>HyacinthsRed 4</v>
      </c>
      <c r="D103" s="8">
        <v>313</v>
      </c>
      <c r="E103" s="16" t="str">
        <f>A103&amp;D103</f>
        <v>Hyacinths313</v>
      </c>
      <c r="F103" s="29" t="str">
        <f>VLOOKUP($D103,Lists!$J$1:$AB$29,2,FALSE)</f>
        <v>RR-yy-SS</v>
      </c>
      <c r="G103" t="s">
        <v>94</v>
      </c>
      <c r="H103" s="29" t="str">
        <f>VLOOKUP($D103,Lists!$J$1:$AB$29,3,FALSE)</f>
        <v>-</v>
      </c>
      <c r="I103" s="29">
        <f>VLOOKUP($D103,Lists!$J$1:$AB$29,4,FALSE)</f>
        <v>1</v>
      </c>
      <c r="J103" s="29" t="str">
        <f>VLOOKUP($D103,Lists!$J$1:$AB$29,5,FALSE)</f>
        <v>RyS</v>
      </c>
      <c r="K103" s="29">
        <f>VLOOKUP($D103,Lists!$J$1:$AB$29,6,FALSE)</f>
        <v>212</v>
      </c>
      <c r="L103" s="29" t="str">
        <f>VLOOKUP($D103,Lists!$J$1:$AB$29,7,FALSE)</f>
        <v>-</v>
      </c>
      <c r="M103" s="29" t="str">
        <f>VLOOKUP($D103,Lists!$J$1:$AB$29,8,FALSE)</f>
        <v>-</v>
      </c>
      <c r="N103" s="29" t="str">
        <f>VLOOKUP($D103,Lists!$J$1:$AB$29,9,FALSE)</f>
        <v>-</v>
      </c>
      <c r="O103" s="29" t="str">
        <f>VLOOKUP($D103,Lists!$J$1:$AB$29,10,FALSE)</f>
        <v>-</v>
      </c>
      <c r="P103" s="29" t="str">
        <f>VLOOKUP($D103,Lists!$J$1:$AB$29,11,FALSE)</f>
        <v>-</v>
      </c>
      <c r="Q103" s="29" t="str">
        <f>VLOOKUP($D103,Lists!$J$1:$AB$29,12,FALSE)</f>
        <v>-</v>
      </c>
      <c r="R103" s="29" t="str">
        <f>VLOOKUP($D103,Lists!$J$1:$AB$29,13,FALSE)</f>
        <v>-</v>
      </c>
      <c r="S103" s="29" t="str">
        <f>VLOOKUP($D103,Lists!$J$1:$AB$29,14,FALSE)</f>
        <v>-</v>
      </c>
      <c r="T103" s="29" t="str">
        <f>VLOOKUP($D103,Lists!$J$1:$AB$29,15,FALSE)</f>
        <v>-</v>
      </c>
      <c r="U103" s="29" t="str">
        <f>VLOOKUP($D103,Lists!$J$1:$AB$29,16,FALSE)</f>
        <v>-</v>
      </c>
      <c r="V103" s="29" t="str">
        <f>VLOOKUP($D103,Lists!$J$1:$AB$29,17,FALSE)</f>
        <v>-</v>
      </c>
      <c r="W103" s="29" t="str">
        <f>VLOOKUP($D103,Lists!$J$1:$AB$29,18,FALSE)</f>
        <v>-</v>
      </c>
      <c r="X103" s="29" t="str">
        <f>VLOOKUP($D103,Lists!$J$1:$AB$29,19,FALSE)</f>
        <v>-</v>
      </c>
      <c r="Y103" s="29" t="str">
        <f>VLOOKUP($D103,Lists!$J$1:$AC$29,20,FALSE)</f>
        <v>-</v>
      </c>
      <c r="Z103" s="32" t="str">
        <f t="shared" si="1"/>
        <v>4</v>
      </c>
    </row>
    <row r="104" spans="1:26" x14ac:dyDescent="0.25">
      <c r="A104" t="s">
        <v>82</v>
      </c>
      <c r="B104" t="s">
        <v>104</v>
      </c>
      <c r="C104" s="16" t="str">
        <f>A104&amp;B104</f>
        <v>HyacinthsBlue 2</v>
      </c>
      <c r="D104" s="8">
        <v>321</v>
      </c>
      <c r="E104" s="16" t="str">
        <f>A104&amp;D104</f>
        <v>Hyacinths321</v>
      </c>
      <c r="F104" s="29" t="str">
        <f>VLOOKUP($D104,Lists!$J$1:$AB$29,2,FALSE)</f>
        <v>RR-Yy-ss</v>
      </c>
      <c r="G104" t="s">
        <v>111</v>
      </c>
      <c r="H104" s="29" t="str">
        <f>VLOOKUP($D104,Lists!$J$1:$AB$29,3,FALSE)</f>
        <v>Y</v>
      </c>
      <c r="I104" s="29">
        <f>VLOOKUP($D104,Lists!$J$1:$AB$29,4,FALSE)</f>
        <v>2</v>
      </c>
      <c r="J104" s="29" t="str">
        <f>VLOOKUP($D104,Lists!$J$1:$AB$29,5,FALSE)</f>
        <v>RYs</v>
      </c>
      <c r="K104" s="29">
        <f>VLOOKUP($D104,Lists!$J$1:$AB$29,6,FALSE)</f>
        <v>221</v>
      </c>
      <c r="L104" s="29" t="str">
        <f>VLOOKUP($D104,Lists!$J$1:$AB$29,7,FALSE)</f>
        <v>Rys</v>
      </c>
      <c r="M104" s="29">
        <f>VLOOKUP($D104,Lists!$J$1:$AB$29,8,FALSE)</f>
        <v>211</v>
      </c>
      <c r="N104" s="29" t="str">
        <f>VLOOKUP($D104,Lists!$J$1:$AB$29,9,FALSE)</f>
        <v>-</v>
      </c>
      <c r="O104" s="29" t="str">
        <f>VLOOKUP($D104,Lists!$J$1:$AB$29,10,FALSE)</f>
        <v>-</v>
      </c>
      <c r="P104" s="29" t="str">
        <f>VLOOKUP($D104,Lists!$J$1:$AB$29,11,FALSE)</f>
        <v>-</v>
      </c>
      <c r="Q104" s="29" t="str">
        <f>VLOOKUP($D104,Lists!$J$1:$AB$29,12,FALSE)</f>
        <v>-</v>
      </c>
      <c r="R104" s="29" t="str">
        <f>VLOOKUP($D104,Lists!$J$1:$AB$29,13,FALSE)</f>
        <v>-</v>
      </c>
      <c r="S104" s="29" t="str">
        <f>VLOOKUP($D104,Lists!$J$1:$AB$29,14,FALSE)</f>
        <v>-</v>
      </c>
      <c r="T104" s="29" t="str">
        <f>VLOOKUP($D104,Lists!$J$1:$AB$29,15,FALSE)</f>
        <v>-</v>
      </c>
      <c r="U104" s="29" t="str">
        <f>VLOOKUP($D104,Lists!$J$1:$AB$29,16,FALSE)</f>
        <v>-</v>
      </c>
      <c r="V104" s="29" t="str">
        <f>VLOOKUP($D104,Lists!$J$1:$AB$29,17,FALSE)</f>
        <v>-</v>
      </c>
      <c r="W104" s="29" t="str">
        <f>VLOOKUP($D104,Lists!$J$1:$AB$29,18,FALSE)</f>
        <v>-</v>
      </c>
      <c r="X104" s="29" t="str">
        <f>VLOOKUP($D104,Lists!$J$1:$AB$29,19,FALSE)</f>
        <v>-</v>
      </c>
      <c r="Y104" s="29" t="str">
        <f>VLOOKUP($D104,Lists!$J$1:$AC$29,20,FALSE)</f>
        <v>-</v>
      </c>
      <c r="Z104" s="32" t="str">
        <f t="shared" si="1"/>
        <v>2</v>
      </c>
    </row>
    <row r="105" spans="1:26" x14ac:dyDescent="0.25">
      <c r="A105" t="s">
        <v>82</v>
      </c>
      <c r="B105" t="s">
        <v>59</v>
      </c>
      <c r="C105" s="16" t="str">
        <f>A105&amp;B105</f>
        <v>HyacinthsRed 5</v>
      </c>
      <c r="D105" s="8">
        <v>322</v>
      </c>
      <c r="E105" s="16" t="str">
        <f>A105&amp;D105</f>
        <v>Hyacinths322</v>
      </c>
      <c r="F105" s="29" t="str">
        <f>VLOOKUP($D105,Lists!$J$1:$AB$29,2,FALSE)</f>
        <v>RR-Yy-Ss</v>
      </c>
      <c r="G105" t="s">
        <v>94</v>
      </c>
      <c r="H105" s="29" t="str">
        <f>VLOOKUP($D105,Lists!$J$1:$AB$29,3,FALSE)</f>
        <v>YS</v>
      </c>
      <c r="I105" s="29">
        <f>VLOOKUP($D105,Lists!$J$1:$AB$29,4,FALSE)</f>
        <v>4</v>
      </c>
      <c r="J105" s="29" t="str">
        <f>VLOOKUP($D105,Lists!$J$1:$AB$29,5,FALSE)</f>
        <v>RYS</v>
      </c>
      <c r="K105" s="29">
        <f>VLOOKUP($D105,Lists!$J$1:$AB$29,6,FALSE)</f>
        <v>222</v>
      </c>
      <c r="L105" s="29" t="str">
        <f>VLOOKUP($D105,Lists!$J$1:$AB$29,7,FALSE)</f>
        <v>RyS</v>
      </c>
      <c r="M105" s="29">
        <f>VLOOKUP($D105,Lists!$J$1:$AB$29,8,FALSE)</f>
        <v>212</v>
      </c>
      <c r="N105" s="29" t="str">
        <f>VLOOKUP($D105,Lists!$J$1:$AB$29,9,FALSE)</f>
        <v>RYs</v>
      </c>
      <c r="O105" s="29">
        <f>VLOOKUP($D105,Lists!$J$1:$AB$29,10,FALSE)</f>
        <v>221</v>
      </c>
      <c r="P105" s="29" t="str">
        <f>VLOOKUP($D105,Lists!$J$1:$AB$29,11,FALSE)</f>
        <v>Rys</v>
      </c>
      <c r="Q105" s="29">
        <f>VLOOKUP($D105,Lists!$J$1:$AB$29,12,FALSE)</f>
        <v>211</v>
      </c>
      <c r="R105" s="29" t="str">
        <f>VLOOKUP($D105,Lists!$J$1:$AB$29,13,FALSE)</f>
        <v>-</v>
      </c>
      <c r="S105" s="29" t="str">
        <f>VLOOKUP($D105,Lists!$J$1:$AB$29,14,FALSE)</f>
        <v>-</v>
      </c>
      <c r="T105" s="29" t="str">
        <f>VLOOKUP($D105,Lists!$J$1:$AB$29,15,FALSE)</f>
        <v>-</v>
      </c>
      <c r="U105" s="29" t="str">
        <f>VLOOKUP($D105,Lists!$J$1:$AB$29,16,FALSE)</f>
        <v>-</v>
      </c>
      <c r="V105" s="29" t="str">
        <f>VLOOKUP($D105,Lists!$J$1:$AB$29,17,FALSE)</f>
        <v>-</v>
      </c>
      <c r="W105" s="29" t="str">
        <f>VLOOKUP($D105,Lists!$J$1:$AB$29,18,FALSE)</f>
        <v>-</v>
      </c>
      <c r="X105" s="29" t="str">
        <f>VLOOKUP($D105,Lists!$J$1:$AB$29,19,FALSE)</f>
        <v>-</v>
      </c>
      <c r="Y105" s="29" t="str">
        <f>VLOOKUP($D105,Lists!$J$1:$AC$29,20,FALSE)</f>
        <v>-</v>
      </c>
      <c r="Z105" s="32" t="str">
        <f t="shared" si="1"/>
        <v>5</v>
      </c>
    </row>
    <row r="106" spans="1:26" x14ac:dyDescent="0.25">
      <c r="A106" t="s">
        <v>82</v>
      </c>
      <c r="B106" t="s">
        <v>109</v>
      </c>
      <c r="C106" s="16" t="str">
        <f>A106&amp;B106</f>
        <v>HyacinthsRed 6</v>
      </c>
      <c r="D106" s="8">
        <v>323</v>
      </c>
      <c r="E106" s="16" t="str">
        <f>A106&amp;D106</f>
        <v>Hyacinths323</v>
      </c>
      <c r="F106" s="29" t="str">
        <f>VLOOKUP($D106,Lists!$J$1:$AB$29,2,FALSE)</f>
        <v>RR-Yy-SS</v>
      </c>
      <c r="G106" t="s">
        <v>94</v>
      </c>
      <c r="H106" s="29" t="str">
        <f>VLOOKUP($D106,Lists!$J$1:$AB$29,3,FALSE)</f>
        <v>Y</v>
      </c>
      <c r="I106" s="29">
        <f>VLOOKUP($D106,Lists!$J$1:$AB$29,4,FALSE)</f>
        <v>2</v>
      </c>
      <c r="J106" s="29" t="str">
        <f>VLOOKUP($D106,Lists!$J$1:$AB$29,5,FALSE)</f>
        <v>RYS</v>
      </c>
      <c r="K106" s="29">
        <f>VLOOKUP($D106,Lists!$J$1:$AB$29,6,FALSE)</f>
        <v>222</v>
      </c>
      <c r="L106" s="29" t="str">
        <f>VLOOKUP($D106,Lists!$J$1:$AB$29,7,FALSE)</f>
        <v>RyS</v>
      </c>
      <c r="M106" s="29">
        <f>VLOOKUP($D106,Lists!$J$1:$AB$29,8,FALSE)</f>
        <v>212</v>
      </c>
      <c r="N106" s="29" t="str">
        <f>VLOOKUP($D106,Lists!$J$1:$AB$29,9,FALSE)</f>
        <v>-</v>
      </c>
      <c r="O106" s="29" t="str">
        <f>VLOOKUP($D106,Lists!$J$1:$AB$29,10,FALSE)</f>
        <v>-</v>
      </c>
      <c r="P106" s="29" t="str">
        <f>VLOOKUP($D106,Lists!$J$1:$AB$29,11,FALSE)</f>
        <v>-</v>
      </c>
      <c r="Q106" s="29" t="str">
        <f>VLOOKUP($D106,Lists!$J$1:$AB$29,12,FALSE)</f>
        <v>-</v>
      </c>
      <c r="R106" s="29" t="str">
        <f>VLOOKUP($D106,Lists!$J$1:$AB$29,13,FALSE)</f>
        <v>-</v>
      </c>
      <c r="S106" s="29" t="str">
        <f>VLOOKUP($D106,Lists!$J$1:$AB$29,14,FALSE)</f>
        <v>-</v>
      </c>
      <c r="T106" s="29" t="str">
        <f>VLOOKUP($D106,Lists!$J$1:$AB$29,15,FALSE)</f>
        <v>-</v>
      </c>
      <c r="U106" s="29" t="str">
        <f>VLOOKUP($D106,Lists!$J$1:$AB$29,16,FALSE)</f>
        <v>-</v>
      </c>
      <c r="V106" s="29" t="str">
        <f>VLOOKUP($D106,Lists!$J$1:$AB$29,17,FALSE)</f>
        <v>-</v>
      </c>
      <c r="W106" s="29" t="str">
        <f>VLOOKUP($D106,Lists!$J$1:$AB$29,18,FALSE)</f>
        <v>-</v>
      </c>
      <c r="X106" s="29" t="str">
        <f>VLOOKUP($D106,Lists!$J$1:$AB$29,19,FALSE)</f>
        <v>-</v>
      </c>
      <c r="Y106" s="29" t="str">
        <f>VLOOKUP($D106,Lists!$J$1:$AC$29,20,FALSE)</f>
        <v>-</v>
      </c>
      <c r="Z106" s="32" t="str">
        <f t="shared" si="1"/>
        <v>6</v>
      </c>
    </row>
    <row r="107" spans="1:26" x14ac:dyDescent="0.25">
      <c r="A107" t="s">
        <v>82</v>
      </c>
      <c r="B107" t="s">
        <v>106</v>
      </c>
      <c r="C107" s="16" t="str">
        <f>A107&amp;B107</f>
        <v>HyacinthsPurple 1</v>
      </c>
      <c r="D107" s="8">
        <v>331</v>
      </c>
      <c r="E107" s="16" t="str">
        <f>A107&amp;D107</f>
        <v>Hyacinths331</v>
      </c>
      <c r="F107" s="29" t="str">
        <f>VLOOKUP($D107,Lists!$J$1:$AB$29,2,FALSE)</f>
        <v>RR-YY-ss</v>
      </c>
      <c r="G107" t="s">
        <v>112</v>
      </c>
      <c r="H107" s="29" t="str">
        <f>VLOOKUP($D107,Lists!$J$1:$AB$29,3,FALSE)</f>
        <v>-</v>
      </c>
      <c r="I107" s="29">
        <f>VLOOKUP($D107,Lists!$J$1:$AB$29,4,FALSE)</f>
        <v>1</v>
      </c>
      <c r="J107" s="29" t="str">
        <f>VLOOKUP($D107,Lists!$J$1:$AB$29,5,FALSE)</f>
        <v>RYs</v>
      </c>
      <c r="K107" s="29">
        <f>VLOOKUP($D107,Lists!$J$1:$AB$29,6,FALSE)</f>
        <v>221</v>
      </c>
      <c r="L107" s="29" t="str">
        <f>VLOOKUP($D107,Lists!$J$1:$AB$29,7,FALSE)</f>
        <v>-</v>
      </c>
      <c r="M107" s="29" t="str">
        <f>VLOOKUP($D107,Lists!$J$1:$AB$29,8,FALSE)</f>
        <v>-</v>
      </c>
      <c r="N107" s="29" t="str">
        <f>VLOOKUP($D107,Lists!$J$1:$AB$29,9,FALSE)</f>
        <v>-</v>
      </c>
      <c r="O107" s="29" t="str">
        <f>VLOOKUP($D107,Lists!$J$1:$AB$29,10,FALSE)</f>
        <v>-</v>
      </c>
      <c r="P107" s="29" t="str">
        <f>VLOOKUP($D107,Lists!$J$1:$AB$29,11,FALSE)</f>
        <v>-</v>
      </c>
      <c r="Q107" s="29" t="str">
        <f>VLOOKUP($D107,Lists!$J$1:$AB$29,12,FALSE)</f>
        <v>-</v>
      </c>
      <c r="R107" s="29" t="str">
        <f>VLOOKUP($D107,Lists!$J$1:$AB$29,13,FALSE)</f>
        <v>-</v>
      </c>
      <c r="S107" s="29" t="str">
        <f>VLOOKUP($D107,Lists!$J$1:$AB$29,14,FALSE)</f>
        <v>-</v>
      </c>
      <c r="T107" s="29" t="str">
        <f>VLOOKUP($D107,Lists!$J$1:$AB$29,15,FALSE)</f>
        <v>-</v>
      </c>
      <c r="U107" s="29" t="str">
        <f>VLOOKUP($D107,Lists!$J$1:$AB$29,16,FALSE)</f>
        <v>-</v>
      </c>
      <c r="V107" s="29" t="str">
        <f>VLOOKUP($D107,Lists!$J$1:$AB$29,17,FALSE)</f>
        <v>-</v>
      </c>
      <c r="W107" s="29" t="str">
        <f>VLOOKUP($D107,Lists!$J$1:$AB$29,18,FALSE)</f>
        <v>-</v>
      </c>
      <c r="X107" s="29" t="str">
        <f>VLOOKUP($D107,Lists!$J$1:$AB$29,19,FALSE)</f>
        <v>-</v>
      </c>
      <c r="Y107" s="29" t="str">
        <f>VLOOKUP($D107,Lists!$J$1:$AC$29,20,FALSE)</f>
        <v>-</v>
      </c>
      <c r="Z107" s="32" t="str">
        <f t="shared" si="1"/>
        <v>1</v>
      </c>
    </row>
    <row r="108" spans="1:26" x14ac:dyDescent="0.25">
      <c r="A108" t="s">
        <v>82</v>
      </c>
      <c r="B108" t="s">
        <v>107</v>
      </c>
      <c r="C108" s="16" t="str">
        <f>A108&amp;B108</f>
        <v>HyacinthsPurple 2</v>
      </c>
      <c r="D108" s="8">
        <v>332</v>
      </c>
      <c r="E108" s="16" t="str">
        <f>A108&amp;D108</f>
        <v>Hyacinths332</v>
      </c>
      <c r="F108" s="29" t="str">
        <f>VLOOKUP($D108,Lists!$J$1:$AB$29,2,FALSE)</f>
        <v>RR-YY-Ss</v>
      </c>
      <c r="G108" t="s">
        <v>112</v>
      </c>
      <c r="H108" s="29" t="str">
        <f>VLOOKUP($D108,Lists!$J$1:$AB$29,3,FALSE)</f>
        <v>S</v>
      </c>
      <c r="I108" s="29">
        <f>VLOOKUP($D108,Lists!$J$1:$AB$29,4,FALSE)</f>
        <v>2</v>
      </c>
      <c r="J108" s="29" t="str">
        <f>VLOOKUP($D108,Lists!$J$1:$AB$29,5,FALSE)</f>
        <v>RYS</v>
      </c>
      <c r="K108" s="29">
        <f>VLOOKUP($D108,Lists!$J$1:$AB$29,6,FALSE)</f>
        <v>222</v>
      </c>
      <c r="L108" s="29" t="str">
        <f>VLOOKUP($D108,Lists!$J$1:$AB$29,7,FALSE)</f>
        <v>Rys</v>
      </c>
      <c r="M108" s="29">
        <f>VLOOKUP($D108,Lists!$J$1:$AB$29,8,FALSE)</f>
        <v>211</v>
      </c>
      <c r="N108" s="29" t="str">
        <f>VLOOKUP($D108,Lists!$J$1:$AB$29,9,FALSE)</f>
        <v>-</v>
      </c>
      <c r="O108" s="29" t="str">
        <f>VLOOKUP($D108,Lists!$J$1:$AB$29,10,FALSE)</f>
        <v>-</v>
      </c>
      <c r="P108" s="29" t="str">
        <f>VLOOKUP($D108,Lists!$J$1:$AB$29,11,FALSE)</f>
        <v>-</v>
      </c>
      <c r="Q108" s="29" t="str">
        <f>VLOOKUP($D108,Lists!$J$1:$AB$29,12,FALSE)</f>
        <v>-</v>
      </c>
      <c r="R108" s="29" t="str">
        <f>VLOOKUP($D108,Lists!$J$1:$AB$29,13,FALSE)</f>
        <v>-</v>
      </c>
      <c r="S108" s="29" t="str">
        <f>VLOOKUP($D108,Lists!$J$1:$AB$29,14,FALSE)</f>
        <v>-</v>
      </c>
      <c r="T108" s="29" t="str">
        <f>VLOOKUP($D108,Lists!$J$1:$AB$29,15,FALSE)</f>
        <v>-</v>
      </c>
      <c r="U108" s="29" t="str">
        <f>VLOOKUP($D108,Lists!$J$1:$AB$29,16,FALSE)</f>
        <v>-</v>
      </c>
      <c r="V108" s="29" t="str">
        <f>VLOOKUP($D108,Lists!$J$1:$AB$29,17,FALSE)</f>
        <v>-</v>
      </c>
      <c r="W108" s="29" t="str">
        <f>VLOOKUP($D108,Lists!$J$1:$AB$29,18,FALSE)</f>
        <v>-</v>
      </c>
      <c r="X108" s="29" t="str">
        <f>VLOOKUP($D108,Lists!$J$1:$AB$29,19,FALSE)</f>
        <v>-</v>
      </c>
      <c r="Y108" s="29" t="str">
        <f>VLOOKUP($D108,Lists!$J$1:$AC$29,20,FALSE)</f>
        <v>-</v>
      </c>
      <c r="Z108" s="32" t="str">
        <f t="shared" si="1"/>
        <v>2</v>
      </c>
    </row>
    <row r="109" spans="1:26" x14ac:dyDescent="0.25">
      <c r="A109" t="s">
        <v>82</v>
      </c>
      <c r="B109" t="s">
        <v>108</v>
      </c>
      <c r="C109" s="16" t="str">
        <f>A109&amp;B109</f>
        <v>HyacinthsPurple 3</v>
      </c>
      <c r="D109" s="8">
        <v>333</v>
      </c>
      <c r="E109" s="16" t="str">
        <f>A109&amp;D109</f>
        <v>Hyacinths333</v>
      </c>
      <c r="F109" s="29" t="str">
        <f>VLOOKUP($D109,Lists!$J$1:$AB$29,2,FALSE)</f>
        <v>RR-YY-SS</v>
      </c>
      <c r="G109" t="s">
        <v>112</v>
      </c>
      <c r="H109" s="29" t="str">
        <f>VLOOKUP($D109,Lists!$J$1:$AB$29,3,FALSE)</f>
        <v>-</v>
      </c>
      <c r="I109" s="29">
        <f>VLOOKUP($D109,Lists!$J$1:$AB$29,4,FALSE)</f>
        <v>1</v>
      </c>
      <c r="J109" s="29" t="str">
        <f>VLOOKUP($D109,Lists!$J$1:$AB$29,5,FALSE)</f>
        <v>RYS</v>
      </c>
      <c r="K109" s="29">
        <f>VLOOKUP($D109,Lists!$J$1:$AB$29,6,FALSE)</f>
        <v>222</v>
      </c>
      <c r="L109" s="29" t="str">
        <f>VLOOKUP($D109,Lists!$J$1:$AB$29,7,FALSE)</f>
        <v>-</v>
      </c>
      <c r="M109" s="29" t="str">
        <f>VLOOKUP($D109,Lists!$J$1:$AB$29,8,FALSE)</f>
        <v>-</v>
      </c>
      <c r="N109" s="29" t="str">
        <f>VLOOKUP($D109,Lists!$J$1:$AB$29,9,FALSE)</f>
        <v>-</v>
      </c>
      <c r="O109" s="29" t="str">
        <f>VLOOKUP($D109,Lists!$J$1:$AB$29,10,FALSE)</f>
        <v>-</v>
      </c>
      <c r="P109" s="29" t="str">
        <f>VLOOKUP($D109,Lists!$J$1:$AB$29,11,FALSE)</f>
        <v>-</v>
      </c>
      <c r="Q109" s="29" t="str">
        <f>VLOOKUP($D109,Lists!$J$1:$AB$29,12,FALSE)</f>
        <v>-</v>
      </c>
      <c r="R109" s="29" t="str">
        <f>VLOOKUP($D109,Lists!$J$1:$AB$29,13,FALSE)</f>
        <v>-</v>
      </c>
      <c r="S109" s="29" t="str">
        <f>VLOOKUP($D109,Lists!$J$1:$AB$29,14,FALSE)</f>
        <v>-</v>
      </c>
      <c r="T109" s="29" t="str">
        <f>VLOOKUP($D109,Lists!$J$1:$AB$29,15,FALSE)</f>
        <v>-</v>
      </c>
      <c r="U109" s="29" t="str">
        <f>VLOOKUP($D109,Lists!$J$1:$AB$29,16,FALSE)</f>
        <v>-</v>
      </c>
      <c r="V109" s="29" t="str">
        <f>VLOOKUP($D109,Lists!$J$1:$AB$29,17,FALSE)</f>
        <v>-</v>
      </c>
      <c r="W109" s="29" t="str">
        <f>VLOOKUP($D109,Lists!$J$1:$AB$29,18,FALSE)</f>
        <v>-</v>
      </c>
      <c r="X109" s="29" t="str">
        <f>VLOOKUP($D109,Lists!$J$1:$AB$29,19,FALSE)</f>
        <v>-</v>
      </c>
      <c r="Y109" s="29" t="str">
        <f>VLOOKUP($D109,Lists!$J$1:$AC$29,20,FALSE)</f>
        <v>-</v>
      </c>
      <c r="Z109" s="32" t="str">
        <f t="shared" si="1"/>
        <v>3</v>
      </c>
    </row>
    <row r="110" spans="1:26" x14ac:dyDescent="0.25">
      <c r="A110" t="s">
        <v>79</v>
      </c>
      <c r="B110" t="s">
        <v>40</v>
      </c>
      <c r="C110" s="16" t="str">
        <f>A110&amp;B110</f>
        <v>MumsWhite 2</v>
      </c>
      <c r="D110" s="8">
        <v>111</v>
      </c>
      <c r="E110" s="16" t="str">
        <f>A110&amp;D110</f>
        <v>Mums111</v>
      </c>
      <c r="F110" s="29" t="str">
        <f>VLOOKUP($D110,Lists!$J$1:$AB$29,2,FALSE)</f>
        <v>rr-yy-ss</v>
      </c>
      <c r="G110" t="s">
        <v>96</v>
      </c>
      <c r="H110" s="29" t="str">
        <f>VLOOKUP($D110,Lists!$J$1:$AB$29,3,FALSE)</f>
        <v>-</v>
      </c>
      <c r="I110" s="29">
        <f>VLOOKUP($D110,Lists!$J$1:$AB$29,4,FALSE)</f>
        <v>1</v>
      </c>
      <c r="J110" s="29" t="str">
        <f>VLOOKUP($D110,Lists!$J$1:$AB$29,5,FALSE)</f>
        <v>rys</v>
      </c>
      <c r="K110" s="29">
        <f>VLOOKUP($D110,Lists!$J$1:$AB$29,6,FALSE)</f>
        <v>111</v>
      </c>
      <c r="L110" s="29" t="str">
        <f>VLOOKUP($D110,Lists!$J$1:$AB$29,7,FALSE)</f>
        <v>-</v>
      </c>
      <c r="M110" s="29" t="str">
        <f>VLOOKUP($D110,Lists!$J$1:$AB$29,8,FALSE)</f>
        <v>-</v>
      </c>
      <c r="N110" s="29" t="str">
        <f>VLOOKUP($D110,Lists!$J$1:$AB$29,9,FALSE)</f>
        <v>-</v>
      </c>
      <c r="O110" s="29" t="str">
        <f>VLOOKUP($D110,Lists!$J$1:$AB$29,10,FALSE)</f>
        <v>-</v>
      </c>
      <c r="P110" s="29" t="str">
        <f>VLOOKUP($D110,Lists!$J$1:$AB$29,11,FALSE)</f>
        <v>-</v>
      </c>
      <c r="Q110" s="29" t="str">
        <f>VLOOKUP($D110,Lists!$J$1:$AB$29,12,FALSE)</f>
        <v>-</v>
      </c>
      <c r="R110" s="29" t="str">
        <f>VLOOKUP($D110,Lists!$J$1:$AB$29,13,FALSE)</f>
        <v>-</v>
      </c>
      <c r="S110" s="29" t="str">
        <f>VLOOKUP($D110,Lists!$J$1:$AB$29,14,FALSE)</f>
        <v>-</v>
      </c>
      <c r="T110" s="29" t="str">
        <f>VLOOKUP($D110,Lists!$J$1:$AB$29,15,FALSE)</f>
        <v>-</v>
      </c>
      <c r="U110" s="29" t="str">
        <f>VLOOKUP($D110,Lists!$J$1:$AB$29,16,FALSE)</f>
        <v>-</v>
      </c>
      <c r="V110" s="29" t="str">
        <f>VLOOKUP($D110,Lists!$J$1:$AB$29,17,FALSE)</f>
        <v>-</v>
      </c>
      <c r="W110" s="29" t="str">
        <f>VLOOKUP($D110,Lists!$J$1:$AB$29,18,FALSE)</f>
        <v>-</v>
      </c>
      <c r="X110" s="29" t="str">
        <f>VLOOKUP($D110,Lists!$J$1:$AB$29,19,FALSE)</f>
        <v>-</v>
      </c>
      <c r="Y110" s="29" t="str">
        <f>VLOOKUP($D110,Lists!$J$1:$AC$29,20,FALSE)</f>
        <v>-</v>
      </c>
      <c r="Z110" s="32" t="str">
        <f t="shared" si="1"/>
        <v>2</v>
      </c>
    </row>
    <row r="111" spans="1:26" x14ac:dyDescent="0.25">
      <c r="A111" t="s">
        <v>79</v>
      </c>
      <c r="B111" t="s">
        <v>85</v>
      </c>
      <c r="C111" s="16" t="str">
        <f>A111&amp;B111</f>
        <v>MumsWhite Seed</v>
      </c>
      <c r="D111" s="8">
        <v>112</v>
      </c>
      <c r="E111" s="16" t="str">
        <f>A111&amp;D111</f>
        <v>Mums112</v>
      </c>
      <c r="F111" s="29" t="str">
        <f>VLOOKUP($D111,Lists!$J$1:$AB$29,2,FALSE)</f>
        <v>rr-yy-Ss</v>
      </c>
      <c r="G111" t="s">
        <v>96</v>
      </c>
      <c r="H111" s="29" t="str">
        <f>VLOOKUP($D111,Lists!$J$1:$AB$29,3,FALSE)</f>
        <v>S</v>
      </c>
      <c r="I111" s="29">
        <f>VLOOKUP($D111,Lists!$J$1:$AB$29,4,FALSE)</f>
        <v>2</v>
      </c>
      <c r="J111" s="29" t="str">
        <f>VLOOKUP($D111,Lists!$J$1:$AB$29,5,FALSE)</f>
        <v>rys</v>
      </c>
      <c r="K111" s="29">
        <f>VLOOKUP($D111,Lists!$J$1:$AB$29,6,FALSE)</f>
        <v>111</v>
      </c>
      <c r="L111" s="29" t="str">
        <f>VLOOKUP($D111,Lists!$J$1:$AB$29,7,FALSE)</f>
        <v>ryS</v>
      </c>
      <c r="M111" s="29">
        <f>VLOOKUP($D111,Lists!$J$1:$AB$29,8,FALSE)</f>
        <v>112</v>
      </c>
      <c r="N111" s="29" t="str">
        <f>VLOOKUP($D111,Lists!$J$1:$AB$29,9,FALSE)</f>
        <v>-</v>
      </c>
      <c r="O111" s="29" t="str">
        <f>VLOOKUP($D111,Lists!$J$1:$AB$29,10,FALSE)</f>
        <v>-</v>
      </c>
      <c r="P111" s="29" t="str">
        <f>VLOOKUP($D111,Lists!$J$1:$AB$29,11,FALSE)</f>
        <v>-</v>
      </c>
      <c r="Q111" s="29" t="str">
        <f>VLOOKUP($D111,Lists!$J$1:$AB$29,12,FALSE)</f>
        <v>-</v>
      </c>
      <c r="R111" s="29" t="str">
        <f>VLOOKUP($D111,Lists!$J$1:$AB$29,13,FALSE)</f>
        <v>-</v>
      </c>
      <c r="S111" s="29" t="str">
        <f>VLOOKUP($D111,Lists!$J$1:$AB$29,14,FALSE)</f>
        <v>-</v>
      </c>
      <c r="T111" s="29" t="str">
        <f>VLOOKUP($D111,Lists!$J$1:$AB$29,15,FALSE)</f>
        <v>-</v>
      </c>
      <c r="U111" s="29" t="str">
        <f>VLOOKUP($D111,Lists!$J$1:$AB$29,16,FALSE)</f>
        <v>-</v>
      </c>
      <c r="V111" s="29" t="str">
        <f>VLOOKUP($D111,Lists!$J$1:$AB$29,17,FALSE)</f>
        <v>-</v>
      </c>
      <c r="W111" s="29" t="str">
        <f>VLOOKUP($D111,Lists!$J$1:$AB$29,18,FALSE)</f>
        <v>-</v>
      </c>
      <c r="X111" s="29" t="str">
        <f>VLOOKUP($D111,Lists!$J$1:$AB$29,19,FALSE)</f>
        <v>-</v>
      </c>
      <c r="Y111" s="29" t="str">
        <f>VLOOKUP($D111,Lists!$J$1:$AC$29,20,FALSE)</f>
        <v>-</v>
      </c>
      <c r="Z111" s="32" t="s">
        <v>141</v>
      </c>
    </row>
    <row r="112" spans="1:26" x14ac:dyDescent="0.25">
      <c r="A112" t="s">
        <v>79</v>
      </c>
      <c r="B112" t="s">
        <v>106</v>
      </c>
      <c r="C112" s="16" t="str">
        <f>A112&amp;B112</f>
        <v>MumsPurple 1</v>
      </c>
      <c r="D112" s="8">
        <v>113</v>
      </c>
      <c r="E112" s="16" t="str">
        <f>A112&amp;D112</f>
        <v>Mums113</v>
      </c>
      <c r="F112" s="29" t="str">
        <f>VLOOKUP($D112,Lists!$J$1:$AB$29,2,FALSE)</f>
        <v>rr-yy-SS</v>
      </c>
      <c r="G112" t="s">
        <v>112</v>
      </c>
      <c r="H112" s="29" t="str">
        <f>VLOOKUP($D112,Lists!$J$1:$AB$29,3,FALSE)</f>
        <v>-</v>
      </c>
      <c r="I112" s="29">
        <f>VLOOKUP($D112,Lists!$J$1:$AB$29,4,FALSE)</f>
        <v>1</v>
      </c>
      <c r="J112" s="29" t="str">
        <f>VLOOKUP($D112,Lists!$J$1:$AB$29,5,FALSE)</f>
        <v>ryS</v>
      </c>
      <c r="K112" s="29">
        <f>VLOOKUP($D112,Lists!$J$1:$AB$29,6,FALSE)</f>
        <v>112</v>
      </c>
      <c r="L112" s="29" t="str">
        <f>VLOOKUP($D112,Lists!$J$1:$AB$29,7,FALSE)</f>
        <v>-</v>
      </c>
      <c r="M112" s="29" t="str">
        <f>VLOOKUP($D112,Lists!$J$1:$AB$29,8,FALSE)</f>
        <v>-</v>
      </c>
      <c r="N112" s="29" t="str">
        <f>VLOOKUP($D112,Lists!$J$1:$AB$29,9,FALSE)</f>
        <v>-</v>
      </c>
      <c r="O112" s="29" t="str">
        <f>VLOOKUP($D112,Lists!$J$1:$AB$29,10,FALSE)</f>
        <v>-</v>
      </c>
      <c r="P112" s="29" t="str">
        <f>VLOOKUP($D112,Lists!$J$1:$AB$29,11,FALSE)</f>
        <v>-</v>
      </c>
      <c r="Q112" s="29" t="str">
        <f>VLOOKUP($D112,Lists!$J$1:$AB$29,12,FALSE)</f>
        <v>-</v>
      </c>
      <c r="R112" s="29" t="str">
        <f>VLOOKUP($D112,Lists!$J$1:$AB$29,13,FALSE)</f>
        <v>-</v>
      </c>
      <c r="S112" s="29" t="str">
        <f>VLOOKUP($D112,Lists!$J$1:$AB$29,14,FALSE)</f>
        <v>-</v>
      </c>
      <c r="T112" s="29" t="str">
        <f>VLOOKUP($D112,Lists!$J$1:$AB$29,15,FALSE)</f>
        <v>-</v>
      </c>
      <c r="U112" s="29" t="str">
        <f>VLOOKUP($D112,Lists!$J$1:$AB$29,16,FALSE)</f>
        <v>-</v>
      </c>
      <c r="V112" s="29" t="str">
        <f>VLOOKUP($D112,Lists!$J$1:$AB$29,17,FALSE)</f>
        <v>-</v>
      </c>
      <c r="W112" s="29" t="str">
        <f>VLOOKUP($D112,Lists!$J$1:$AB$29,18,FALSE)</f>
        <v>-</v>
      </c>
      <c r="X112" s="29" t="str">
        <f>VLOOKUP($D112,Lists!$J$1:$AB$29,19,FALSE)</f>
        <v>-</v>
      </c>
      <c r="Y112" s="29" t="str">
        <f>VLOOKUP($D112,Lists!$J$1:$AC$29,20,FALSE)</f>
        <v>-</v>
      </c>
      <c r="Z112" s="32" t="str">
        <f t="shared" si="1"/>
        <v>1</v>
      </c>
    </row>
    <row r="113" spans="1:26" x14ac:dyDescent="0.25">
      <c r="A113" t="s">
        <v>79</v>
      </c>
      <c r="B113" t="s">
        <v>42</v>
      </c>
      <c r="C113" s="16" t="str">
        <f>A113&amp;B113</f>
        <v>MumsYellow 2</v>
      </c>
      <c r="D113" s="8">
        <v>121</v>
      </c>
      <c r="E113" s="16" t="str">
        <f>A113&amp;D113</f>
        <v>Mums121</v>
      </c>
      <c r="F113" s="29" t="str">
        <f>VLOOKUP($D113,Lists!$J$1:$AB$29,2,FALSE)</f>
        <v>rr-Yy-ss</v>
      </c>
      <c r="G113" t="s">
        <v>95</v>
      </c>
      <c r="H113" s="29" t="str">
        <f>VLOOKUP($D113,Lists!$J$1:$AB$29,3,FALSE)</f>
        <v>Y</v>
      </c>
      <c r="I113" s="29">
        <f>VLOOKUP($D113,Lists!$J$1:$AB$29,4,FALSE)</f>
        <v>2</v>
      </c>
      <c r="J113" s="29" t="str">
        <f>VLOOKUP($D113,Lists!$J$1:$AB$29,5,FALSE)</f>
        <v>rYs</v>
      </c>
      <c r="K113" s="29">
        <f>VLOOKUP($D113,Lists!$J$1:$AB$29,6,FALSE)</f>
        <v>121</v>
      </c>
      <c r="L113" s="29" t="str">
        <f>VLOOKUP($D113,Lists!$J$1:$AB$29,7,FALSE)</f>
        <v>rys</v>
      </c>
      <c r="M113" s="29">
        <f>VLOOKUP($D113,Lists!$J$1:$AB$29,8,FALSE)</f>
        <v>111</v>
      </c>
      <c r="N113" s="29" t="str">
        <f>VLOOKUP($D113,Lists!$J$1:$AB$29,9,FALSE)</f>
        <v>-</v>
      </c>
      <c r="O113" s="29" t="str">
        <f>VLOOKUP($D113,Lists!$J$1:$AB$29,10,FALSE)</f>
        <v>-</v>
      </c>
      <c r="P113" s="29" t="str">
        <f>VLOOKUP($D113,Lists!$J$1:$AB$29,11,FALSE)</f>
        <v>-</v>
      </c>
      <c r="Q113" s="29" t="str">
        <f>VLOOKUP($D113,Lists!$J$1:$AB$29,12,FALSE)</f>
        <v>-</v>
      </c>
      <c r="R113" s="29" t="str">
        <f>VLOOKUP($D113,Lists!$J$1:$AB$29,13,FALSE)</f>
        <v>-</v>
      </c>
      <c r="S113" s="29" t="str">
        <f>VLOOKUP($D113,Lists!$J$1:$AB$29,14,FALSE)</f>
        <v>-</v>
      </c>
      <c r="T113" s="29" t="str">
        <f>VLOOKUP($D113,Lists!$J$1:$AB$29,15,FALSE)</f>
        <v>-</v>
      </c>
      <c r="U113" s="29" t="str">
        <f>VLOOKUP($D113,Lists!$J$1:$AB$29,16,FALSE)</f>
        <v>-</v>
      </c>
      <c r="V113" s="29" t="str">
        <f>VLOOKUP($D113,Lists!$J$1:$AB$29,17,FALSE)</f>
        <v>-</v>
      </c>
      <c r="W113" s="29" t="str">
        <f>VLOOKUP($D113,Lists!$J$1:$AB$29,18,FALSE)</f>
        <v>-</v>
      </c>
      <c r="X113" s="29" t="str">
        <f>VLOOKUP($D113,Lists!$J$1:$AB$29,19,FALSE)</f>
        <v>-</v>
      </c>
      <c r="Y113" s="29" t="str">
        <f>VLOOKUP($D113,Lists!$J$1:$AC$29,20,FALSE)</f>
        <v>-</v>
      </c>
      <c r="Z113" s="32" t="str">
        <f t="shared" si="1"/>
        <v>2</v>
      </c>
    </row>
    <row r="114" spans="1:26" x14ac:dyDescent="0.25">
      <c r="A114" t="s">
        <v>79</v>
      </c>
      <c r="B114" t="s">
        <v>43</v>
      </c>
      <c r="C114" s="16" t="str">
        <f>A114&amp;B114</f>
        <v>MumsYellow 3</v>
      </c>
      <c r="D114" s="8">
        <v>122</v>
      </c>
      <c r="E114" s="16" t="str">
        <f>A114&amp;D114</f>
        <v>Mums122</v>
      </c>
      <c r="F114" s="29" t="str">
        <f>VLOOKUP($D114,Lists!$J$1:$AB$29,2,FALSE)</f>
        <v>rr-Yy-Ss</v>
      </c>
      <c r="G114" t="s">
        <v>95</v>
      </c>
      <c r="H114" s="29" t="str">
        <f>VLOOKUP($D114,Lists!$J$1:$AB$29,3,FALSE)</f>
        <v>YS</v>
      </c>
      <c r="I114" s="29">
        <f>VLOOKUP($D114,Lists!$J$1:$AB$29,4,FALSE)</f>
        <v>4</v>
      </c>
      <c r="J114" s="29" t="str">
        <f>VLOOKUP($D114,Lists!$J$1:$AB$29,5,FALSE)</f>
        <v>rYS</v>
      </c>
      <c r="K114" s="29">
        <f>VLOOKUP($D114,Lists!$J$1:$AB$29,6,FALSE)</f>
        <v>122</v>
      </c>
      <c r="L114" s="29" t="str">
        <f>VLOOKUP($D114,Lists!$J$1:$AB$29,7,FALSE)</f>
        <v>ryS</v>
      </c>
      <c r="M114" s="29">
        <f>VLOOKUP($D114,Lists!$J$1:$AB$29,8,FALSE)</f>
        <v>112</v>
      </c>
      <c r="N114" s="29" t="str">
        <f>VLOOKUP($D114,Lists!$J$1:$AB$29,9,FALSE)</f>
        <v>rYs</v>
      </c>
      <c r="O114" s="29">
        <f>VLOOKUP($D114,Lists!$J$1:$AB$29,10,FALSE)</f>
        <v>121</v>
      </c>
      <c r="P114" s="29" t="str">
        <f>VLOOKUP($D114,Lists!$J$1:$AB$29,11,FALSE)</f>
        <v>rys</v>
      </c>
      <c r="Q114" s="29">
        <f>VLOOKUP($D114,Lists!$J$1:$AB$29,12,FALSE)</f>
        <v>111</v>
      </c>
      <c r="R114" s="29" t="str">
        <f>VLOOKUP($D114,Lists!$J$1:$AB$29,13,FALSE)</f>
        <v>-</v>
      </c>
      <c r="S114" s="29" t="str">
        <f>VLOOKUP($D114,Lists!$J$1:$AB$29,14,FALSE)</f>
        <v>-</v>
      </c>
      <c r="T114" s="29" t="str">
        <f>VLOOKUP($D114,Lists!$J$1:$AB$29,15,FALSE)</f>
        <v>-</v>
      </c>
      <c r="U114" s="29" t="str">
        <f>VLOOKUP($D114,Lists!$J$1:$AB$29,16,FALSE)</f>
        <v>-</v>
      </c>
      <c r="V114" s="29" t="str">
        <f>VLOOKUP($D114,Lists!$J$1:$AB$29,17,FALSE)</f>
        <v>-</v>
      </c>
      <c r="W114" s="29" t="str">
        <f>VLOOKUP($D114,Lists!$J$1:$AB$29,18,FALSE)</f>
        <v>-</v>
      </c>
      <c r="X114" s="29" t="str">
        <f>VLOOKUP($D114,Lists!$J$1:$AB$29,19,FALSE)</f>
        <v>-</v>
      </c>
      <c r="Y114" s="29" t="str">
        <f>VLOOKUP($D114,Lists!$J$1:$AC$29,20,FALSE)</f>
        <v>-</v>
      </c>
      <c r="Z114" s="32" t="str">
        <f t="shared" si="1"/>
        <v>3</v>
      </c>
    </row>
    <row r="115" spans="1:26" x14ac:dyDescent="0.25">
      <c r="A115" t="s">
        <v>79</v>
      </c>
      <c r="B115" t="s">
        <v>41</v>
      </c>
      <c r="C115" s="16" t="str">
        <f>A115&amp;B115</f>
        <v>MumsWhite 3</v>
      </c>
      <c r="D115" s="8">
        <v>123</v>
      </c>
      <c r="E115" s="16" t="str">
        <f>A115&amp;D115</f>
        <v>Mums123</v>
      </c>
      <c r="F115" s="29" t="str">
        <f>VLOOKUP($D115,Lists!$J$1:$AB$29,2,FALSE)</f>
        <v>rr-Yy-SS</v>
      </c>
      <c r="G115" t="s">
        <v>96</v>
      </c>
      <c r="H115" s="29" t="str">
        <f>VLOOKUP($D115,Lists!$J$1:$AB$29,3,FALSE)</f>
        <v>Y</v>
      </c>
      <c r="I115" s="29">
        <f>VLOOKUP($D115,Lists!$J$1:$AB$29,4,FALSE)</f>
        <v>2</v>
      </c>
      <c r="J115" s="29" t="str">
        <f>VLOOKUP($D115,Lists!$J$1:$AB$29,5,FALSE)</f>
        <v>rYS</v>
      </c>
      <c r="K115" s="29">
        <f>VLOOKUP($D115,Lists!$J$1:$AB$29,6,FALSE)</f>
        <v>122</v>
      </c>
      <c r="L115" s="29" t="str">
        <f>VLOOKUP($D115,Lists!$J$1:$AB$29,7,FALSE)</f>
        <v>ryS</v>
      </c>
      <c r="M115" s="29">
        <f>VLOOKUP($D115,Lists!$J$1:$AB$29,8,FALSE)</f>
        <v>112</v>
      </c>
      <c r="N115" s="29" t="str">
        <f>VLOOKUP($D115,Lists!$J$1:$AB$29,9,FALSE)</f>
        <v>-</v>
      </c>
      <c r="O115" s="29" t="str">
        <f>VLOOKUP($D115,Lists!$J$1:$AB$29,10,FALSE)</f>
        <v>-</v>
      </c>
      <c r="P115" s="29" t="str">
        <f>VLOOKUP($D115,Lists!$J$1:$AB$29,11,FALSE)</f>
        <v>-</v>
      </c>
      <c r="Q115" s="29" t="str">
        <f>VLOOKUP($D115,Lists!$J$1:$AB$29,12,FALSE)</f>
        <v>-</v>
      </c>
      <c r="R115" s="29" t="str">
        <f>VLOOKUP($D115,Lists!$J$1:$AB$29,13,FALSE)</f>
        <v>-</v>
      </c>
      <c r="S115" s="29" t="str">
        <f>VLOOKUP($D115,Lists!$J$1:$AB$29,14,FALSE)</f>
        <v>-</v>
      </c>
      <c r="T115" s="29" t="str">
        <f>VLOOKUP($D115,Lists!$J$1:$AB$29,15,FALSE)</f>
        <v>-</v>
      </c>
      <c r="U115" s="29" t="str">
        <f>VLOOKUP($D115,Lists!$J$1:$AB$29,16,FALSE)</f>
        <v>-</v>
      </c>
      <c r="V115" s="29" t="str">
        <f>VLOOKUP($D115,Lists!$J$1:$AB$29,17,FALSE)</f>
        <v>-</v>
      </c>
      <c r="W115" s="29" t="str">
        <f>VLOOKUP($D115,Lists!$J$1:$AB$29,18,FALSE)</f>
        <v>-</v>
      </c>
      <c r="X115" s="29" t="str">
        <f>VLOOKUP($D115,Lists!$J$1:$AB$29,19,FALSE)</f>
        <v>-</v>
      </c>
      <c r="Y115" s="29" t="str">
        <f>VLOOKUP($D115,Lists!$J$1:$AC$29,20,FALSE)</f>
        <v>-</v>
      </c>
      <c r="Z115" s="32" t="str">
        <f t="shared" si="1"/>
        <v>3</v>
      </c>
    </row>
    <row r="116" spans="1:26" x14ac:dyDescent="0.25">
      <c r="A116" t="s">
        <v>79</v>
      </c>
      <c r="B116" t="s">
        <v>84</v>
      </c>
      <c r="C116" s="16" t="str">
        <f>A116&amp;B116</f>
        <v>MumsYellow Seed</v>
      </c>
      <c r="D116" s="8">
        <v>131</v>
      </c>
      <c r="E116" s="16" t="str">
        <f>A116&amp;D116</f>
        <v>Mums131</v>
      </c>
      <c r="F116" s="29" t="str">
        <f>VLOOKUP($D116,Lists!$J$1:$AB$29,2,FALSE)</f>
        <v>rr-YY-ss</v>
      </c>
      <c r="G116" t="s">
        <v>95</v>
      </c>
      <c r="H116" s="29" t="str">
        <f>VLOOKUP($D116,Lists!$J$1:$AB$29,3,FALSE)</f>
        <v>-</v>
      </c>
      <c r="I116" s="29">
        <f>VLOOKUP($D116,Lists!$J$1:$AB$29,4,FALSE)</f>
        <v>1</v>
      </c>
      <c r="J116" s="29" t="str">
        <f>VLOOKUP($D116,Lists!$J$1:$AB$29,5,FALSE)</f>
        <v>rYs</v>
      </c>
      <c r="K116" s="29">
        <f>VLOOKUP($D116,Lists!$J$1:$AB$29,6,FALSE)</f>
        <v>121</v>
      </c>
      <c r="L116" s="29" t="str">
        <f>VLOOKUP($D116,Lists!$J$1:$AB$29,7,FALSE)</f>
        <v>-</v>
      </c>
      <c r="M116" s="29" t="str">
        <f>VLOOKUP($D116,Lists!$J$1:$AB$29,8,FALSE)</f>
        <v>-</v>
      </c>
      <c r="N116" s="29" t="str">
        <f>VLOOKUP($D116,Lists!$J$1:$AB$29,9,FALSE)</f>
        <v>-</v>
      </c>
      <c r="O116" s="29" t="str">
        <f>VLOOKUP($D116,Lists!$J$1:$AB$29,10,FALSE)</f>
        <v>-</v>
      </c>
      <c r="P116" s="29" t="str">
        <f>VLOOKUP($D116,Lists!$J$1:$AB$29,11,FALSE)</f>
        <v>-</v>
      </c>
      <c r="Q116" s="29" t="str">
        <f>VLOOKUP($D116,Lists!$J$1:$AB$29,12,FALSE)</f>
        <v>-</v>
      </c>
      <c r="R116" s="29" t="str">
        <f>VLOOKUP($D116,Lists!$J$1:$AB$29,13,FALSE)</f>
        <v>-</v>
      </c>
      <c r="S116" s="29" t="str">
        <f>VLOOKUP($D116,Lists!$J$1:$AB$29,14,FALSE)</f>
        <v>-</v>
      </c>
      <c r="T116" s="29" t="str">
        <f>VLOOKUP($D116,Lists!$J$1:$AB$29,15,FALSE)</f>
        <v>-</v>
      </c>
      <c r="U116" s="29" t="str">
        <f>VLOOKUP($D116,Lists!$J$1:$AB$29,16,FALSE)</f>
        <v>-</v>
      </c>
      <c r="V116" s="29" t="str">
        <f>VLOOKUP($D116,Lists!$J$1:$AB$29,17,FALSE)</f>
        <v>-</v>
      </c>
      <c r="W116" s="29" t="str">
        <f>VLOOKUP($D116,Lists!$J$1:$AB$29,18,FALSE)</f>
        <v>-</v>
      </c>
      <c r="X116" s="29" t="str">
        <f>VLOOKUP($D116,Lists!$J$1:$AB$29,19,FALSE)</f>
        <v>-</v>
      </c>
      <c r="Y116" s="29" t="str">
        <f>VLOOKUP($D116,Lists!$J$1:$AC$29,20,FALSE)</f>
        <v>-</v>
      </c>
      <c r="Z116" s="32" t="s">
        <v>141</v>
      </c>
    </row>
    <row r="117" spans="1:26" x14ac:dyDescent="0.25">
      <c r="A117" t="s">
        <v>79</v>
      </c>
      <c r="B117" t="s">
        <v>54</v>
      </c>
      <c r="C117" s="16" t="str">
        <f>A117&amp;B117</f>
        <v>MumsYellow 4</v>
      </c>
      <c r="D117" s="8">
        <v>132</v>
      </c>
      <c r="E117" s="16" t="str">
        <f>A117&amp;D117</f>
        <v>Mums132</v>
      </c>
      <c r="F117" s="29" t="str">
        <f>VLOOKUP($D117,Lists!$J$1:$AB$29,2,FALSE)</f>
        <v>rr-YY-Ss</v>
      </c>
      <c r="G117" t="s">
        <v>95</v>
      </c>
      <c r="H117" s="29" t="str">
        <f>VLOOKUP($D117,Lists!$J$1:$AB$29,3,FALSE)</f>
        <v>S</v>
      </c>
      <c r="I117" s="29">
        <f>VLOOKUP($D117,Lists!$J$1:$AB$29,4,FALSE)</f>
        <v>2</v>
      </c>
      <c r="J117" s="29" t="str">
        <f>VLOOKUP($D117,Lists!$J$1:$AB$29,5,FALSE)</f>
        <v>rYs</v>
      </c>
      <c r="K117" s="29">
        <f>VLOOKUP($D117,Lists!$J$1:$AB$29,6,FALSE)</f>
        <v>121</v>
      </c>
      <c r="L117" s="29" t="str">
        <f>VLOOKUP($D117,Lists!$J$1:$AB$29,7,FALSE)</f>
        <v>rYS</v>
      </c>
      <c r="M117" s="29">
        <f>VLOOKUP($D117,Lists!$J$1:$AB$29,8,FALSE)</f>
        <v>122</v>
      </c>
      <c r="N117" s="29" t="str">
        <f>VLOOKUP($D117,Lists!$J$1:$AB$29,9,FALSE)</f>
        <v>-</v>
      </c>
      <c r="O117" s="29" t="str">
        <f>VLOOKUP($D117,Lists!$J$1:$AB$29,10,FALSE)</f>
        <v>-</v>
      </c>
      <c r="P117" s="29" t="str">
        <f>VLOOKUP($D117,Lists!$J$1:$AB$29,11,FALSE)</f>
        <v>-</v>
      </c>
      <c r="Q117" s="29" t="str">
        <f>VLOOKUP($D117,Lists!$J$1:$AB$29,12,FALSE)</f>
        <v>-</v>
      </c>
      <c r="R117" s="29" t="str">
        <f>VLOOKUP($D117,Lists!$J$1:$AB$29,13,FALSE)</f>
        <v>-</v>
      </c>
      <c r="S117" s="29" t="str">
        <f>VLOOKUP($D117,Lists!$J$1:$AB$29,14,FALSE)</f>
        <v>-</v>
      </c>
      <c r="T117" s="29" t="str">
        <f>VLOOKUP($D117,Lists!$J$1:$AB$29,15,FALSE)</f>
        <v>-</v>
      </c>
      <c r="U117" s="29" t="str">
        <f>VLOOKUP($D117,Lists!$J$1:$AB$29,16,FALSE)</f>
        <v>-</v>
      </c>
      <c r="V117" s="29" t="str">
        <f>VLOOKUP($D117,Lists!$J$1:$AB$29,17,FALSE)</f>
        <v>-</v>
      </c>
      <c r="W117" s="29" t="str">
        <f>VLOOKUP($D117,Lists!$J$1:$AB$29,18,FALSE)</f>
        <v>-</v>
      </c>
      <c r="X117" s="29" t="str">
        <f>VLOOKUP($D117,Lists!$J$1:$AB$29,19,FALSE)</f>
        <v>-</v>
      </c>
      <c r="Y117" s="29" t="str">
        <f>VLOOKUP($D117,Lists!$J$1:$AC$29,20,FALSE)</f>
        <v>-</v>
      </c>
      <c r="Z117" s="32" t="str">
        <f t="shared" si="1"/>
        <v>4</v>
      </c>
    </row>
    <row r="118" spans="1:26" x14ac:dyDescent="0.25">
      <c r="A118" t="s">
        <v>79</v>
      </c>
      <c r="B118" t="s">
        <v>53</v>
      </c>
      <c r="C118" s="16" t="str">
        <f>A118&amp;B118</f>
        <v>MumsYellow 5</v>
      </c>
      <c r="D118" s="8">
        <v>133</v>
      </c>
      <c r="E118" s="16" t="str">
        <f>A118&amp;D118</f>
        <v>Mums133</v>
      </c>
      <c r="F118" s="29" t="str">
        <f>VLOOKUP($D118,Lists!$J$1:$AB$29,2,FALSE)</f>
        <v>rr-YY-SS</v>
      </c>
      <c r="G118" t="s">
        <v>95</v>
      </c>
      <c r="H118" s="29" t="str">
        <f>VLOOKUP($D118,Lists!$J$1:$AB$29,3,FALSE)</f>
        <v>-</v>
      </c>
      <c r="I118" s="29">
        <f>VLOOKUP($D118,Lists!$J$1:$AB$29,4,FALSE)</f>
        <v>1</v>
      </c>
      <c r="J118" s="29" t="str">
        <f>VLOOKUP($D118,Lists!$J$1:$AB$29,5,FALSE)</f>
        <v>rYS</v>
      </c>
      <c r="K118" s="29">
        <f>VLOOKUP($D118,Lists!$J$1:$AB$29,6,FALSE)</f>
        <v>122</v>
      </c>
      <c r="L118" s="29" t="str">
        <f>VLOOKUP($D118,Lists!$J$1:$AB$29,7,FALSE)</f>
        <v>-</v>
      </c>
      <c r="M118" s="29" t="str">
        <f>VLOOKUP($D118,Lists!$J$1:$AB$29,8,FALSE)</f>
        <v>-</v>
      </c>
      <c r="N118" s="29" t="str">
        <f>VLOOKUP($D118,Lists!$J$1:$AB$29,9,FALSE)</f>
        <v>-</v>
      </c>
      <c r="O118" s="29" t="str">
        <f>VLOOKUP($D118,Lists!$J$1:$AB$29,10,FALSE)</f>
        <v>-</v>
      </c>
      <c r="P118" s="29" t="str">
        <f>VLOOKUP($D118,Lists!$J$1:$AB$29,11,FALSE)</f>
        <v>-</v>
      </c>
      <c r="Q118" s="29" t="str">
        <f>VLOOKUP($D118,Lists!$J$1:$AB$29,12,FALSE)</f>
        <v>-</v>
      </c>
      <c r="R118" s="29" t="str">
        <f>VLOOKUP($D118,Lists!$J$1:$AB$29,13,FALSE)</f>
        <v>-</v>
      </c>
      <c r="S118" s="29" t="str">
        <f>VLOOKUP($D118,Lists!$J$1:$AB$29,14,FALSE)</f>
        <v>-</v>
      </c>
      <c r="T118" s="29" t="str">
        <f>VLOOKUP($D118,Lists!$J$1:$AB$29,15,FALSE)</f>
        <v>-</v>
      </c>
      <c r="U118" s="29" t="str">
        <f>VLOOKUP($D118,Lists!$J$1:$AB$29,16,FALSE)</f>
        <v>-</v>
      </c>
      <c r="V118" s="29" t="str">
        <f>VLOOKUP($D118,Lists!$J$1:$AB$29,17,FALSE)</f>
        <v>-</v>
      </c>
      <c r="W118" s="29" t="str">
        <f>VLOOKUP($D118,Lists!$J$1:$AB$29,18,FALSE)</f>
        <v>-</v>
      </c>
      <c r="X118" s="29" t="str">
        <f>VLOOKUP($D118,Lists!$J$1:$AB$29,19,FALSE)</f>
        <v>-</v>
      </c>
      <c r="Y118" s="29" t="str">
        <f>VLOOKUP($D118,Lists!$J$1:$AC$29,20,FALSE)</f>
        <v>-</v>
      </c>
      <c r="Z118" s="32" t="str">
        <f t="shared" si="1"/>
        <v>5</v>
      </c>
    </row>
    <row r="119" spans="1:26" x14ac:dyDescent="0.25">
      <c r="A119" t="s">
        <v>79</v>
      </c>
      <c r="B119" t="s">
        <v>16</v>
      </c>
      <c r="C119" s="16" t="str">
        <f>A119&amp;B119</f>
        <v>MumsPink 1</v>
      </c>
      <c r="D119" s="8">
        <v>211</v>
      </c>
      <c r="E119" s="16" t="str">
        <f>A119&amp;D119</f>
        <v>Mums211</v>
      </c>
      <c r="F119" s="29" t="str">
        <f>VLOOKUP($D119,Lists!$J$1:$AB$29,2,FALSE)</f>
        <v>Rr-yy-ss</v>
      </c>
      <c r="G119" t="s">
        <v>98</v>
      </c>
      <c r="H119" s="29" t="str">
        <f>VLOOKUP($D119,Lists!$J$1:$AB$29,3,FALSE)</f>
        <v>R</v>
      </c>
      <c r="I119" s="29">
        <f>VLOOKUP($D119,Lists!$J$1:$AB$29,4,FALSE)</f>
        <v>2</v>
      </c>
      <c r="J119" s="29" t="str">
        <f>VLOOKUP($D119,Lists!$J$1:$AB$29,5,FALSE)</f>
        <v>Rys</v>
      </c>
      <c r="K119" s="29">
        <f>VLOOKUP($D119,Lists!$J$1:$AB$29,6,FALSE)</f>
        <v>211</v>
      </c>
      <c r="L119" s="29" t="str">
        <f>VLOOKUP($D119,Lists!$J$1:$AB$29,7,FALSE)</f>
        <v xml:space="preserve">rys </v>
      </c>
      <c r="M119" s="29">
        <f>VLOOKUP($D119,Lists!$J$1:$AB$29,8,FALSE)</f>
        <v>111</v>
      </c>
      <c r="N119" s="29" t="str">
        <f>VLOOKUP($D119,Lists!$J$1:$AB$29,9,FALSE)</f>
        <v>-</v>
      </c>
      <c r="O119" s="29" t="str">
        <f>VLOOKUP($D119,Lists!$J$1:$AB$29,10,FALSE)</f>
        <v>-</v>
      </c>
      <c r="P119" s="29" t="str">
        <f>VLOOKUP($D119,Lists!$J$1:$AB$29,11,FALSE)</f>
        <v>-</v>
      </c>
      <c r="Q119" s="29" t="str">
        <f>VLOOKUP($D119,Lists!$J$1:$AB$29,12,FALSE)</f>
        <v>-</v>
      </c>
      <c r="R119" s="29" t="str">
        <f>VLOOKUP($D119,Lists!$J$1:$AB$29,13,FALSE)</f>
        <v>-</v>
      </c>
      <c r="S119" s="29" t="str">
        <f>VLOOKUP($D119,Lists!$J$1:$AB$29,14,FALSE)</f>
        <v>-</v>
      </c>
      <c r="T119" s="29" t="str">
        <f>VLOOKUP($D119,Lists!$J$1:$AB$29,15,FALSE)</f>
        <v>-</v>
      </c>
      <c r="U119" s="29" t="str">
        <f>VLOOKUP($D119,Lists!$J$1:$AB$29,16,FALSE)</f>
        <v>-</v>
      </c>
      <c r="V119" s="29" t="str">
        <f>VLOOKUP($D119,Lists!$J$1:$AB$29,17,FALSE)</f>
        <v>-</v>
      </c>
      <c r="W119" s="29" t="str">
        <f>VLOOKUP($D119,Lists!$J$1:$AB$29,18,FALSE)</f>
        <v>-</v>
      </c>
      <c r="X119" s="29" t="str">
        <f>VLOOKUP($D119,Lists!$J$1:$AB$29,19,FALSE)</f>
        <v>-</v>
      </c>
      <c r="Y119" s="29" t="str">
        <f>VLOOKUP($D119,Lists!$J$1:$AC$29,20,FALSE)</f>
        <v>-</v>
      </c>
      <c r="Z119" s="32" t="str">
        <f t="shared" si="1"/>
        <v>1</v>
      </c>
    </row>
    <row r="120" spans="1:26" x14ac:dyDescent="0.25">
      <c r="A120" t="s">
        <v>79</v>
      </c>
      <c r="B120" t="s">
        <v>17</v>
      </c>
      <c r="C120" s="16" t="str">
        <f>A120&amp;B120</f>
        <v>MumsPink 2</v>
      </c>
      <c r="D120" s="8">
        <v>212</v>
      </c>
      <c r="E120" s="16" t="str">
        <f>A120&amp;D120</f>
        <v>Mums212</v>
      </c>
      <c r="F120" s="29" t="str">
        <f>VLOOKUP($D120,Lists!$J$1:$AB$29,2,FALSE)</f>
        <v>Rr-yy-Ss</v>
      </c>
      <c r="G120" t="s">
        <v>98</v>
      </c>
      <c r="H120" s="29" t="str">
        <f>VLOOKUP($D120,Lists!$J$1:$AB$29,3,FALSE)</f>
        <v>RS</v>
      </c>
      <c r="I120" s="29">
        <f>VLOOKUP($D120,Lists!$J$1:$AB$29,4,FALSE)</f>
        <v>4</v>
      </c>
      <c r="J120" s="29" t="str">
        <f>VLOOKUP($D120,Lists!$J$1:$AB$29,5,FALSE)</f>
        <v>RyS</v>
      </c>
      <c r="K120" s="29">
        <f>VLOOKUP($D120,Lists!$J$1:$AB$29,6,FALSE)</f>
        <v>212</v>
      </c>
      <c r="L120" s="29" t="str">
        <f>VLOOKUP($D120,Lists!$J$1:$AB$29,7,FALSE)</f>
        <v>Rys</v>
      </c>
      <c r="M120" s="29">
        <f>VLOOKUP($D120,Lists!$J$1:$AB$29,8,FALSE)</f>
        <v>211</v>
      </c>
      <c r="N120" s="29" t="str">
        <f>VLOOKUP($D120,Lists!$J$1:$AB$29,9,FALSE)</f>
        <v>ryS</v>
      </c>
      <c r="O120" s="29">
        <f>VLOOKUP($D120,Lists!$J$1:$AB$29,10,FALSE)</f>
        <v>112</v>
      </c>
      <c r="P120" s="29" t="str">
        <f>VLOOKUP($D120,Lists!$J$1:$AB$29,11,FALSE)</f>
        <v>rys</v>
      </c>
      <c r="Q120" s="29">
        <f>VLOOKUP($D120,Lists!$J$1:$AB$29,12,FALSE)</f>
        <v>111</v>
      </c>
      <c r="R120" s="29" t="str">
        <f>VLOOKUP($D120,Lists!$J$1:$AB$29,13,FALSE)</f>
        <v>-</v>
      </c>
      <c r="S120" s="29" t="str">
        <f>VLOOKUP($D120,Lists!$J$1:$AB$29,14,FALSE)</f>
        <v>-</v>
      </c>
      <c r="T120" s="29" t="str">
        <f>VLOOKUP($D120,Lists!$J$1:$AB$29,15,FALSE)</f>
        <v>-</v>
      </c>
      <c r="U120" s="29" t="str">
        <f>VLOOKUP($D120,Lists!$J$1:$AB$29,16,FALSE)</f>
        <v>-</v>
      </c>
      <c r="V120" s="29" t="str">
        <f>VLOOKUP($D120,Lists!$J$1:$AB$29,17,FALSE)</f>
        <v>-</v>
      </c>
      <c r="W120" s="29" t="str">
        <f>VLOOKUP($D120,Lists!$J$1:$AB$29,18,FALSE)</f>
        <v>-</v>
      </c>
      <c r="X120" s="29" t="str">
        <f>VLOOKUP($D120,Lists!$J$1:$AB$29,19,FALSE)</f>
        <v>-</v>
      </c>
      <c r="Y120" s="29" t="str">
        <f>VLOOKUP($D120,Lists!$J$1:$AC$29,20,FALSE)</f>
        <v>-</v>
      </c>
      <c r="Z120" s="32" t="str">
        <f t="shared" si="1"/>
        <v>2</v>
      </c>
    </row>
    <row r="121" spans="1:26" x14ac:dyDescent="0.25">
      <c r="A121" t="s">
        <v>79</v>
      </c>
      <c r="B121" t="s">
        <v>55</v>
      </c>
      <c r="C121" s="16" t="str">
        <f>A121&amp;B121</f>
        <v>MumsPink 3</v>
      </c>
      <c r="D121" s="8">
        <v>213</v>
      </c>
      <c r="E121" s="16" t="str">
        <f>A121&amp;D121</f>
        <v>Mums213</v>
      </c>
      <c r="F121" s="29" t="str">
        <f>VLOOKUP($D121,Lists!$J$1:$AB$29,2,FALSE)</f>
        <v>Rr-yy-SS</v>
      </c>
      <c r="G121" t="s">
        <v>98</v>
      </c>
      <c r="H121" s="29" t="str">
        <f>VLOOKUP($D121,Lists!$J$1:$AB$29,3,FALSE)</f>
        <v>R</v>
      </c>
      <c r="I121" s="29">
        <f>VLOOKUP($D121,Lists!$J$1:$AB$29,4,FALSE)</f>
        <v>2</v>
      </c>
      <c r="J121" s="29" t="str">
        <f>VLOOKUP($D121,Lists!$J$1:$AB$29,5,FALSE)</f>
        <v>RyS</v>
      </c>
      <c r="K121" s="29">
        <f>VLOOKUP($D121,Lists!$J$1:$AB$29,6,FALSE)</f>
        <v>212</v>
      </c>
      <c r="L121" s="29" t="str">
        <f>VLOOKUP($D121,Lists!$J$1:$AB$29,7,FALSE)</f>
        <v>ryS</v>
      </c>
      <c r="M121" s="29">
        <f>VLOOKUP($D121,Lists!$J$1:$AB$29,8,FALSE)</f>
        <v>112</v>
      </c>
      <c r="N121" s="29" t="str">
        <f>VLOOKUP($D121,Lists!$J$1:$AB$29,9,FALSE)</f>
        <v>-</v>
      </c>
      <c r="O121" s="29" t="str">
        <f>VLOOKUP($D121,Lists!$J$1:$AB$29,10,FALSE)</f>
        <v>-</v>
      </c>
      <c r="P121" s="29" t="str">
        <f>VLOOKUP($D121,Lists!$J$1:$AB$29,11,FALSE)</f>
        <v>-</v>
      </c>
      <c r="Q121" s="29" t="str">
        <f>VLOOKUP($D121,Lists!$J$1:$AB$29,12,FALSE)</f>
        <v>-</v>
      </c>
      <c r="R121" s="29" t="str">
        <f>VLOOKUP($D121,Lists!$J$1:$AB$29,13,FALSE)</f>
        <v>-</v>
      </c>
      <c r="S121" s="29" t="str">
        <f>VLOOKUP($D121,Lists!$J$1:$AB$29,14,FALSE)</f>
        <v>-</v>
      </c>
      <c r="T121" s="29" t="str">
        <f>VLOOKUP($D121,Lists!$J$1:$AB$29,15,FALSE)</f>
        <v>-</v>
      </c>
      <c r="U121" s="29" t="str">
        <f>VLOOKUP($D121,Lists!$J$1:$AB$29,16,FALSE)</f>
        <v>-</v>
      </c>
      <c r="V121" s="29" t="str">
        <f>VLOOKUP($D121,Lists!$J$1:$AB$29,17,FALSE)</f>
        <v>-</v>
      </c>
      <c r="W121" s="29" t="str">
        <f>VLOOKUP($D121,Lists!$J$1:$AB$29,18,FALSE)</f>
        <v>-</v>
      </c>
      <c r="X121" s="29" t="str">
        <f>VLOOKUP($D121,Lists!$J$1:$AB$29,19,FALSE)</f>
        <v>-</v>
      </c>
      <c r="Y121" s="29" t="str">
        <f>VLOOKUP($D121,Lists!$J$1:$AC$29,20,FALSE)</f>
        <v>-</v>
      </c>
      <c r="Z121" s="32" t="str">
        <f t="shared" si="1"/>
        <v>3</v>
      </c>
    </row>
    <row r="122" spans="1:26" x14ac:dyDescent="0.25">
      <c r="A122" t="s">
        <v>79</v>
      </c>
      <c r="B122" t="s">
        <v>92</v>
      </c>
      <c r="C122" s="16" t="str">
        <f>A122&amp;B122</f>
        <v>MumsYellow 6</v>
      </c>
      <c r="D122" s="8">
        <v>221</v>
      </c>
      <c r="E122" s="16" t="str">
        <f>A122&amp;D122</f>
        <v>Mums221</v>
      </c>
      <c r="F122" s="29" t="str">
        <f>VLOOKUP($D122,Lists!$J$1:$AB$29,2,FALSE)</f>
        <v>Rr-Yy-ss</v>
      </c>
      <c r="G122" t="s">
        <v>95</v>
      </c>
      <c r="H122" s="29" t="str">
        <f>VLOOKUP($D122,Lists!$J$1:$AB$29,3,FALSE)</f>
        <v>RY</v>
      </c>
      <c r="I122" s="29">
        <f>VLOOKUP($D122,Lists!$J$1:$AB$29,4,FALSE)</f>
        <v>4</v>
      </c>
      <c r="J122" s="29" t="str">
        <f>VLOOKUP($D122,Lists!$J$1:$AB$29,5,FALSE)</f>
        <v>RYs</v>
      </c>
      <c r="K122" s="29">
        <f>VLOOKUP($D122,Lists!$J$1:$AB$29,6,FALSE)</f>
        <v>221</v>
      </c>
      <c r="L122" s="29" t="str">
        <f>VLOOKUP($D122,Lists!$J$1:$AB$29,7,FALSE)</f>
        <v>Rys</v>
      </c>
      <c r="M122" s="29">
        <f>VLOOKUP($D122,Lists!$J$1:$AB$29,8,FALSE)</f>
        <v>211</v>
      </c>
      <c r="N122" s="29" t="str">
        <f>VLOOKUP($D122,Lists!$J$1:$AB$29,9,FALSE)</f>
        <v>rYs</v>
      </c>
      <c r="O122" s="29">
        <f>VLOOKUP($D122,Lists!$J$1:$AB$29,10,FALSE)</f>
        <v>121</v>
      </c>
      <c r="P122" s="29" t="str">
        <f>VLOOKUP($D122,Lists!$J$1:$AB$29,11,FALSE)</f>
        <v>rys</v>
      </c>
      <c r="Q122" s="29">
        <f>VLOOKUP($D122,Lists!$J$1:$AB$29,12,FALSE)</f>
        <v>111</v>
      </c>
      <c r="R122" s="29" t="str">
        <f>VLOOKUP($D122,Lists!$J$1:$AB$29,13,FALSE)</f>
        <v>-</v>
      </c>
      <c r="S122" s="29" t="str">
        <f>VLOOKUP($D122,Lists!$J$1:$AB$29,14,FALSE)</f>
        <v>-</v>
      </c>
      <c r="T122" s="29" t="str">
        <f>VLOOKUP($D122,Lists!$J$1:$AB$29,15,FALSE)</f>
        <v>-</v>
      </c>
      <c r="U122" s="29" t="str">
        <f>VLOOKUP($D122,Lists!$J$1:$AB$29,16,FALSE)</f>
        <v>-</v>
      </c>
      <c r="V122" s="29" t="str">
        <f>VLOOKUP($D122,Lists!$J$1:$AB$29,17,FALSE)</f>
        <v>-</v>
      </c>
      <c r="W122" s="29" t="str">
        <f>VLOOKUP($D122,Lists!$J$1:$AB$29,18,FALSE)</f>
        <v>-</v>
      </c>
      <c r="X122" s="29" t="str">
        <f>VLOOKUP($D122,Lists!$J$1:$AB$29,19,FALSE)</f>
        <v>-</v>
      </c>
      <c r="Y122" s="29" t="str">
        <f>VLOOKUP($D122,Lists!$J$1:$AC$29,20,FALSE)</f>
        <v>-</v>
      </c>
      <c r="Z122" s="32" t="str">
        <f t="shared" si="1"/>
        <v>6</v>
      </c>
    </row>
    <row r="123" spans="1:26" x14ac:dyDescent="0.25">
      <c r="A123" t="s">
        <v>79</v>
      </c>
      <c r="B123" t="s">
        <v>87</v>
      </c>
      <c r="C123" s="16" t="str">
        <f>A123&amp;B123</f>
        <v>MumsRed 2</v>
      </c>
      <c r="D123" s="8">
        <v>222</v>
      </c>
      <c r="E123" s="16" t="str">
        <f>A123&amp;D123</f>
        <v>Mums222</v>
      </c>
      <c r="F123" s="29" t="str">
        <f>VLOOKUP($D123,Lists!$J$1:$AB$29,2,FALSE)</f>
        <v>Rr-Yy-Ss</v>
      </c>
      <c r="G123" t="s">
        <v>94</v>
      </c>
      <c r="H123" s="29" t="str">
        <f>VLOOKUP($D123,Lists!$J$1:$AB$29,3,FALSE)</f>
        <v>RYS</v>
      </c>
      <c r="I123" s="29">
        <f>VLOOKUP($D123,Lists!$J$1:$AB$29,4,FALSE)</f>
        <v>8</v>
      </c>
      <c r="J123" s="29" t="str">
        <f>VLOOKUP($D123,Lists!$J$1:$AB$29,5,FALSE)</f>
        <v>RYS</v>
      </c>
      <c r="K123" s="29">
        <f>VLOOKUP($D123,Lists!$J$1:$AB$29,6,FALSE)</f>
        <v>222</v>
      </c>
      <c r="L123" s="29" t="str">
        <f>VLOOKUP($D123,Lists!$J$1:$AB$29,7,FALSE)</f>
        <v>RyS</v>
      </c>
      <c r="M123" s="29">
        <f>VLOOKUP($D123,Lists!$J$1:$AB$29,8,FALSE)</f>
        <v>212</v>
      </c>
      <c r="N123" s="29" t="str">
        <f>VLOOKUP($D123,Lists!$J$1:$AB$29,9,FALSE)</f>
        <v>RYs</v>
      </c>
      <c r="O123" s="29">
        <f>VLOOKUP($D123,Lists!$J$1:$AB$29,10,FALSE)</f>
        <v>221</v>
      </c>
      <c r="P123" s="29" t="str">
        <f>VLOOKUP($D123,Lists!$J$1:$AB$29,11,FALSE)</f>
        <v>Rys</v>
      </c>
      <c r="Q123" s="29">
        <f>VLOOKUP($D123,Lists!$J$1:$AB$29,12,FALSE)</f>
        <v>211</v>
      </c>
      <c r="R123" s="29" t="str">
        <f>VLOOKUP($D123,Lists!$J$1:$AB$29,13,FALSE)</f>
        <v>rYS</v>
      </c>
      <c r="S123" s="29">
        <f>VLOOKUP($D123,Lists!$J$1:$AB$29,14,FALSE)</f>
        <v>122</v>
      </c>
      <c r="T123" s="29" t="str">
        <f>VLOOKUP($D123,Lists!$J$1:$AB$29,15,FALSE)</f>
        <v>ryS</v>
      </c>
      <c r="U123" s="29">
        <f>VLOOKUP($D123,Lists!$J$1:$AB$29,16,FALSE)</f>
        <v>112</v>
      </c>
      <c r="V123" s="29" t="str">
        <f>VLOOKUP($D123,Lists!$J$1:$AB$29,17,FALSE)</f>
        <v>rYs</v>
      </c>
      <c r="W123" s="29">
        <f>VLOOKUP($D123,Lists!$J$1:$AB$29,18,FALSE)</f>
        <v>121</v>
      </c>
      <c r="X123" s="29" t="str">
        <f>VLOOKUP($D123,Lists!$J$1:$AB$29,19,FALSE)</f>
        <v>rys</v>
      </c>
      <c r="Y123" s="29">
        <f>VLOOKUP($D123,Lists!$J$1:$AC$29,20,FALSE)</f>
        <v>111</v>
      </c>
      <c r="Z123" s="32" t="str">
        <f t="shared" si="1"/>
        <v>2</v>
      </c>
    </row>
    <row r="124" spans="1:26" x14ac:dyDescent="0.25">
      <c r="A124" t="s">
        <v>79</v>
      </c>
      <c r="B124" t="s">
        <v>56</v>
      </c>
      <c r="C124" s="16" t="str">
        <f>A124&amp;B124</f>
        <v>MumsPink 4</v>
      </c>
      <c r="D124" s="8">
        <v>223</v>
      </c>
      <c r="E124" s="16" t="str">
        <f>A124&amp;D124</f>
        <v>Mums223</v>
      </c>
      <c r="F124" s="29" t="str">
        <f>VLOOKUP($D124,Lists!$J$1:$AB$29,2,FALSE)</f>
        <v>Rr-Yy-SS</v>
      </c>
      <c r="G124" t="s">
        <v>98</v>
      </c>
      <c r="H124" s="29" t="str">
        <f>VLOOKUP($D124,Lists!$J$1:$AB$29,3,FALSE)</f>
        <v>RY</v>
      </c>
      <c r="I124" s="29">
        <f>VLOOKUP($D124,Lists!$J$1:$AB$29,4,FALSE)</f>
        <v>4</v>
      </c>
      <c r="J124" s="29" t="str">
        <f>VLOOKUP($D124,Lists!$J$1:$AB$29,5,FALSE)</f>
        <v>RYS</v>
      </c>
      <c r="K124" s="29">
        <f>VLOOKUP($D124,Lists!$J$1:$AB$29,6,FALSE)</f>
        <v>222</v>
      </c>
      <c r="L124" s="29" t="str">
        <f>VLOOKUP($D124,Lists!$J$1:$AB$29,7,FALSE)</f>
        <v>RyS</v>
      </c>
      <c r="M124" s="29">
        <f>VLOOKUP($D124,Lists!$J$1:$AB$29,8,FALSE)</f>
        <v>212</v>
      </c>
      <c r="N124" s="29" t="str">
        <f>VLOOKUP($D124,Lists!$J$1:$AB$29,9,FALSE)</f>
        <v>rYS</v>
      </c>
      <c r="O124" s="29">
        <f>VLOOKUP($D124,Lists!$J$1:$AB$29,10,FALSE)</f>
        <v>122</v>
      </c>
      <c r="P124" s="29" t="str">
        <f>VLOOKUP($D124,Lists!$J$1:$AB$29,11,FALSE)</f>
        <v>ryS</v>
      </c>
      <c r="Q124" s="29">
        <f>VLOOKUP($D124,Lists!$J$1:$AB$29,12,FALSE)</f>
        <v>112</v>
      </c>
      <c r="R124" s="29" t="str">
        <f>VLOOKUP($D124,Lists!$J$1:$AB$29,13,FALSE)</f>
        <v>-</v>
      </c>
      <c r="S124" s="29" t="str">
        <f>VLOOKUP($D124,Lists!$J$1:$AB$29,14,FALSE)</f>
        <v>-</v>
      </c>
      <c r="T124" s="29" t="str">
        <f>VLOOKUP($D124,Lists!$J$1:$AB$29,15,FALSE)</f>
        <v>-</v>
      </c>
      <c r="U124" s="29" t="str">
        <f>VLOOKUP($D124,Lists!$J$1:$AB$29,16,FALSE)</f>
        <v>-</v>
      </c>
      <c r="V124" s="29" t="str">
        <f>VLOOKUP($D124,Lists!$J$1:$AB$29,17,FALSE)</f>
        <v>-</v>
      </c>
      <c r="W124" s="29" t="str">
        <f>VLOOKUP($D124,Lists!$J$1:$AB$29,18,FALSE)</f>
        <v>-</v>
      </c>
      <c r="X124" s="29" t="str">
        <f>VLOOKUP($D124,Lists!$J$1:$AB$29,19,FALSE)</f>
        <v>-</v>
      </c>
      <c r="Y124" s="29" t="str">
        <f>VLOOKUP($D124,Lists!$J$1:$AC$29,20,FALSE)</f>
        <v>-</v>
      </c>
      <c r="Z124" s="32" t="str">
        <f t="shared" si="1"/>
        <v>4</v>
      </c>
    </row>
    <row r="125" spans="1:26" x14ac:dyDescent="0.25">
      <c r="A125" t="s">
        <v>79</v>
      </c>
      <c r="B125" t="s">
        <v>107</v>
      </c>
      <c r="C125" s="16" t="str">
        <f>A125&amp;B125</f>
        <v>MumsPurple 2</v>
      </c>
      <c r="D125" s="8">
        <v>231</v>
      </c>
      <c r="E125" s="16" t="str">
        <f>A125&amp;D125</f>
        <v>Mums231</v>
      </c>
      <c r="F125" s="29" t="str">
        <f>VLOOKUP($D125,Lists!$J$1:$AB$29,2,FALSE)</f>
        <v>Rr-YY-ss</v>
      </c>
      <c r="G125" t="s">
        <v>112</v>
      </c>
      <c r="H125" s="29" t="str">
        <f>VLOOKUP($D125,Lists!$J$1:$AB$29,3,FALSE)</f>
        <v>R</v>
      </c>
      <c r="I125" s="29">
        <f>VLOOKUP($D125,Lists!$J$1:$AB$29,4,FALSE)</f>
        <v>2</v>
      </c>
      <c r="J125" s="29" t="str">
        <f>VLOOKUP($D125,Lists!$J$1:$AB$29,5,FALSE)</f>
        <v>Rys</v>
      </c>
      <c r="K125" s="29">
        <f>VLOOKUP($D125,Lists!$J$1:$AB$29,6,FALSE)</f>
        <v>211</v>
      </c>
      <c r="L125" s="29" t="str">
        <f>VLOOKUP($D125,Lists!$J$1:$AB$29,7,FALSE)</f>
        <v>rYs</v>
      </c>
      <c r="M125" s="29">
        <f>VLOOKUP($D125,Lists!$J$1:$AB$29,8,FALSE)</f>
        <v>121</v>
      </c>
      <c r="N125" s="29" t="str">
        <f>VLOOKUP($D125,Lists!$J$1:$AB$29,9,FALSE)</f>
        <v>-</v>
      </c>
      <c r="O125" s="29" t="str">
        <f>VLOOKUP($D125,Lists!$J$1:$AB$29,10,FALSE)</f>
        <v>-</v>
      </c>
      <c r="P125" s="29" t="str">
        <f>VLOOKUP($D125,Lists!$J$1:$AB$29,11,FALSE)</f>
        <v>-</v>
      </c>
      <c r="Q125" s="29" t="str">
        <f>VLOOKUP($D125,Lists!$J$1:$AB$29,12,FALSE)</f>
        <v>-</v>
      </c>
      <c r="R125" s="29" t="str">
        <f>VLOOKUP($D125,Lists!$J$1:$AB$29,13,FALSE)</f>
        <v>-</v>
      </c>
      <c r="S125" s="29" t="str">
        <f>VLOOKUP($D125,Lists!$J$1:$AB$29,14,FALSE)</f>
        <v>-</v>
      </c>
      <c r="T125" s="29" t="str">
        <f>VLOOKUP($D125,Lists!$J$1:$AB$29,15,FALSE)</f>
        <v>-</v>
      </c>
      <c r="U125" s="29" t="str">
        <f>VLOOKUP($D125,Lists!$J$1:$AB$29,16,FALSE)</f>
        <v>-</v>
      </c>
      <c r="V125" s="29" t="str">
        <f>VLOOKUP($D125,Lists!$J$1:$AB$29,17,FALSE)</f>
        <v>-</v>
      </c>
      <c r="W125" s="29" t="str">
        <f>VLOOKUP($D125,Lists!$J$1:$AB$29,18,FALSE)</f>
        <v>-</v>
      </c>
      <c r="X125" s="29" t="str">
        <f>VLOOKUP($D125,Lists!$J$1:$AB$29,19,FALSE)</f>
        <v>-</v>
      </c>
      <c r="Y125" s="29" t="str">
        <f>VLOOKUP($D125,Lists!$J$1:$AC$29,20,FALSE)</f>
        <v>-</v>
      </c>
      <c r="Z125" s="32" t="str">
        <f t="shared" si="1"/>
        <v>2</v>
      </c>
    </row>
    <row r="126" spans="1:26" x14ac:dyDescent="0.25">
      <c r="A126" t="s">
        <v>79</v>
      </c>
      <c r="B126" t="s">
        <v>108</v>
      </c>
      <c r="C126" s="16" t="str">
        <f>A126&amp;B126</f>
        <v>MumsPurple 3</v>
      </c>
      <c r="D126" s="8">
        <v>232</v>
      </c>
      <c r="E126" s="16" t="str">
        <f>A126&amp;D126</f>
        <v>Mums232</v>
      </c>
      <c r="F126" s="29" t="str">
        <f>VLOOKUP($D126,Lists!$J$1:$AB$29,2,FALSE)</f>
        <v>Rr-YY-Ss</v>
      </c>
      <c r="G126" t="s">
        <v>112</v>
      </c>
      <c r="H126" s="29" t="str">
        <f>VLOOKUP($D126,Lists!$J$1:$AB$29,3,FALSE)</f>
        <v>RS</v>
      </c>
      <c r="I126" s="29">
        <f>VLOOKUP($D126,Lists!$J$1:$AB$29,4,FALSE)</f>
        <v>4</v>
      </c>
      <c r="J126" s="29" t="str">
        <f>VLOOKUP($D126,Lists!$J$1:$AB$29,5,FALSE)</f>
        <v>RYS</v>
      </c>
      <c r="K126" s="29">
        <f>VLOOKUP($D126,Lists!$J$1:$AB$29,6,FALSE)</f>
        <v>222</v>
      </c>
      <c r="L126" s="29" t="str">
        <f>VLOOKUP($D126,Lists!$J$1:$AB$29,7,FALSE)</f>
        <v>Rys</v>
      </c>
      <c r="M126" s="29">
        <f>VLOOKUP($D126,Lists!$J$1:$AB$29,8,FALSE)</f>
        <v>211</v>
      </c>
      <c r="N126" s="29" t="str">
        <f>VLOOKUP($D126,Lists!$J$1:$AB$29,9,FALSE)</f>
        <v>rYS</v>
      </c>
      <c r="O126" s="29">
        <f>VLOOKUP($D126,Lists!$J$1:$AB$29,10,FALSE)</f>
        <v>122</v>
      </c>
      <c r="P126" s="29" t="str">
        <f>VLOOKUP($D126,Lists!$J$1:$AB$29,11,FALSE)</f>
        <v>rYs</v>
      </c>
      <c r="Q126" s="29">
        <f>VLOOKUP($D126,Lists!$J$1:$AB$29,12,FALSE)</f>
        <v>121</v>
      </c>
      <c r="R126" s="29" t="str">
        <f>VLOOKUP($D126,Lists!$J$1:$AB$29,13,FALSE)</f>
        <v>-</v>
      </c>
      <c r="S126" s="29" t="str">
        <f>VLOOKUP($D126,Lists!$J$1:$AB$29,14,FALSE)</f>
        <v>-</v>
      </c>
      <c r="T126" s="29" t="str">
        <f>VLOOKUP($D126,Lists!$J$1:$AB$29,15,FALSE)</f>
        <v>-</v>
      </c>
      <c r="U126" s="29" t="str">
        <f>VLOOKUP($D126,Lists!$J$1:$AB$29,16,FALSE)</f>
        <v>-</v>
      </c>
      <c r="V126" s="29" t="str">
        <f>VLOOKUP($D126,Lists!$J$1:$AB$29,17,FALSE)</f>
        <v>-</v>
      </c>
      <c r="W126" s="29" t="str">
        <f>VLOOKUP($D126,Lists!$J$1:$AB$29,18,FALSE)</f>
        <v>-</v>
      </c>
      <c r="X126" s="29" t="str">
        <f>VLOOKUP($D126,Lists!$J$1:$AB$29,19,FALSE)</f>
        <v>-</v>
      </c>
      <c r="Y126" s="29" t="str">
        <f>VLOOKUP($D126,Lists!$J$1:$AC$29,20,FALSE)</f>
        <v>-</v>
      </c>
      <c r="Z126" s="32" t="str">
        <f t="shared" si="1"/>
        <v>3</v>
      </c>
    </row>
    <row r="127" spans="1:26" x14ac:dyDescent="0.25">
      <c r="A127" t="s">
        <v>79</v>
      </c>
      <c r="B127" t="s">
        <v>116</v>
      </c>
      <c r="C127" s="16" t="str">
        <f>A127&amp;B127</f>
        <v>MumsPurple 4</v>
      </c>
      <c r="D127" s="8">
        <v>233</v>
      </c>
      <c r="E127" s="16" t="str">
        <f>A127&amp;D127</f>
        <v>Mums233</v>
      </c>
      <c r="F127" s="29" t="str">
        <f>VLOOKUP($D127,Lists!$J$1:$AB$29,2,FALSE)</f>
        <v>Rr-YY-SS</v>
      </c>
      <c r="G127" t="s">
        <v>112</v>
      </c>
      <c r="H127" s="29" t="str">
        <f>VLOOKUP($D127,Lists!$J$1:$AB$29,3,FALSE)</f>
        <v>R</v>
      </c>
      <c r="I127" s="29">
        <f>VLOOKUP($D127,Lists!$J$1:$AB$29,4,FALSE)</f>
        <v>2</v>
      </c>
      <c r="J127" s="29" t="str">
        <f>VLOOKUP($D127,Lists!$J$1:$AB$29,5,FALSE)</f>
        <v>RYS</v>
      </c>
      <c r="K127" s="29">
        <f>VLOOKUP($D127,Lists!$J$1:$AB$29,6,FALSE)</f>
        <v>222</v>
      </c>
      <c r="L127" s="29" t="str">
        <f>VLOOKUP($D127,Lists!$J$1:$AB$29,7,FALSE)</f>
        <v>rYS</v>
      </c>
      <c r="M127" s="29">
        <f>VLOOKUP($D127,Lists!$J$1:$AB$29,8,FALSE)</f>
        <v>122</v>
      </c>
      <c r="N127" s="29" t="str">
        <f>VLOOKUP($D127,Lists!$J$1:$AB$29,9,FALSE)</f>
        <v>-</v>
      </c>
      <c r="O127" s="29" t="str">
        <f>VLOOKUP($D127,Lists!$J$1:$AB$29,10,FALSE)</f>
        <v>-</v>
      </c>
      <c r="P127" s="29" t="str">
        <f>VLOOKUP($D127,Lists!$J$1:$AB$29,11,FALSE)</f>
        <v>-</v>
      </c>
      <c r="Q127" s="29" t="str">
        <f>VLOOKUP($D127,Lists!$J$1:$AB$29,12,FALSE)</f>
        <v>-</v>
      </c>
      <c r="R127" s="29" t="str">
        <f>VLOOKUP($D127,Lists!$J$1:$AB$29,13,FALSE)</f>
        <v>-</v>
      </c>
      <c r="S127" s="29" t="str">
        <f>VLOOKUP($D127,Lists!$J$1:$AB$29,14,FALSE)</f>
        <v>-</v>
      </c>
      <c r="T127" s="29" t="str">
        <f>VLOOKUP($D127,Lists!$J$1:$AB$29,15,FALSE)</f>
        <v>-</v>
      </c>
      <c r="U127" s="29" t="str">
        <f>VLOOKUP($D127,Lists!$J$1:$AB$29,16,FALSE)</f>
        <v>-</v>
      </c>
      <c r="V127" s="29" t="str">
        <f>VLOOKUP($D127,Lists!$J$1:$AB$29,17,FALSE)</f>
        <v>-</v>
      </c>
      <c r="W127" s="29" t="str">
        <f>VLOOKUP($D127,Lists!$J$1:$AB$29,18,FALSE)</f>
        <v>-</v>
      </c>
      <c r="X127" s="29" t="str">
        <f>VLOOKUP($D127,Lists!$J$1:$AB$29,19,FALSE)</f>
        <v>-</v>
      </c>
      <c r="Y127" s="29" t="str">
        <f>VLOOKUP($D127,Lists!$J$1:$AC$29,20,FALSE)</f>
        <v>-</v>
      </c>
      <c r="Z127" s="32" t="str">
        <f t="shared" si="1"/>
        <v>4</v>
      </c>
    </row>
    <row r="128" spans="1:26" x14ac:dyDescent="0.25">
      <c r="A128" t="s">
        <v>79</v>
      </c>
      <c r="B128" t="s">
        <v>77</v>
      </c>
      <c r="C128" s="16" t="str">
        <f>A128&amp;B128</f>
        <v>MumsRed Seed</v>
      </c>
      <c r="D128" s="8">
        <v>311</v>
      </c>
      <c r="E128" s="16" t="str">
        <f>A128&amp;D128</f>
        <v>Mums311</v>
      </c>
      <c r="F128" s="29" t="str">
        <f>VLOOKUP($D128,Lists!$J$1:$AB$29,2,FALSE)</f>
        <v>RR-yy-ss</v>
      </c>
      <c r="G128" t="s">
        <v>94</v>
      </c>
      <c r="H128" s="29" t="str">
        <f>VLOOKUP($D128,Lists!$J$1:$AB$29,3,FALSE)</f>
        <v>-</v>
      </c>
      <c r="I128" s="29">
        <f>VLOOKUP($D128,Lists!$J$1:$AB$29,4,FALSE)</f>
        <v>1</v>
      </c>
      <c r="J128" s="29" t="str">
        <f>VLOOKUP($D128,Lists!$J$1:$AB$29,5,FALSE)</f>
        <v>Rys</v>
      </c>
      <c r="K128" s="29">
        <f>VLOOKUP($D128,Lists!$J$1:$AB$29,6,FALSE)</f>
        <v>211</v>
      </c>
      <c r="L128" s="29" t="str">
        <f>VLOOKUP($D128,Lists!$J$1:$AB$29,7,FALSE)</f>
        <v>-</v>
      </c>
      <c r="M128" s="29" t="str">
        <f>VLOOKUP($D128,Lists!$J$1:$AB$29,8,FALSE)</f>
        <v>-</v>
      </c>
      <c r="N128" s="29" t="str">
        <f>VLOOKUP($D128,Lists!$J$1:$AB$29,9,FALSE)</f>
        <v>-</v>
      </c>
      <c r="O128" s="29" t="str">
        <f>VLOOKUP($D128,Lists!$J$1:$AB$29,10,FALSE)</f>
        <v>-</v>
      </c>
      <c r="P128" s="29" t="str">
        <f>VLOOKUP($D128,Lists!$J$1:$AB$29,11,FALSE)</f>
        <v>-</v>
      </c>
      <c r="Q128" s="29" t="str">
        <f>VLOOKUP($D128,Lists!$J$1:$AB$29,12,FALSE)</f>
        <v>-</v>
      </c>
      <c r="R128" s="29" t="str">
        <f>VLOOKUP($D128,Lists!$J$1:$AB$29,13,FALSE)</f>
        <v>-</v>
      </c>
      <c r="S128" s="29" t="str">
        <f>VLOOKUP($D128,Lists!$J$1:$AB$29,14,FALSE)</f>
        <v>-</v>
      </c>
      <c r="T128" s="29" t="str">
        <f>VLOOKUP($D128,Lists!$J$1:$AB$29,15,FALSE)</f>
        <v>-</v>
      </c>
      <c r="U128" s="29" t="str">
        <f>VLOOKUP($D128,Lists!$J$1:$AB$29,16,FALSE)</f>
        <v>-</v>
      </c>
      <c r="V128" s="29" t="str">
        <f>VLOOKUP($D128,Lists!$J$1:$AB$29,17,FALSE)</f>
        <v>-</v>
      </c>
      <c r="W128" s="29" t="str">
        <f>VLOOKUP($D128,Lists!$J$1:$AB$29,18,FALSE)</f>
        <v>-</v>
      </c>
      <c r="X128" s="29" t="str">
        <f>VLOOKUP($D128,Lists!$J$1:$AB$29,19,FALSE)</f>
        <v>-</v>
      </c>
      <c r="Y128" s="29" t="str">
        <f>VLOOKUP($D128,Lists!$J$1:$AC$29,20,FALSE)</f>
        <v>-</v>
      </c>
      <c r="Z128" s="32" t="s">
        <v>141</v>
      </c>
    </row>
    <row r="129" spans="1:26" x14ac:dyDescent="0.25">
      <c r="A129" t="s">
        <v>79</v>
      </c>
      <c r="B129" t="s">
        <v>58</v>
      </c>
      <c r="C129" s="16" t="str">
        <f>A129&amp;B129</f>
        <v>MumsRed 3</v>
      </c>
      <c r="D129" s="8">
        <v>312</v>
      </c>
      <c r="E129" s="16" t="str">
        <f>A129&amp;D129</f>
        <v>Mums312</v>
      </c>
      <c r="F129" s="29" t="str">
        <f>VLOOKUP($D129,Lists!$J$1:$AB$29,2,FALSE)</f>
        <v>RR-yy-Ss</v>
      </c>
      <c r="G129" t="s">
        <v>94</v>
      </c>
      <c r="H129" s="29" t="str">
        <f>VLOOKUP($D129,Lists!$J$1:$AB$29,3,FALSE)</f>
        <v>S</v>
      </c>
      <c r="I129" s="29">
        <f>VLOOKUP($D129,Lists!$J$1:$AB$29,4,FALSE)</f>
        <v>2</v>
      </c>
      <c r="J129" s="29" t="str">
        <f>VLOOKUP($D129,Lists!$J$1:$AB$29,5,FALSE)</f>
        <v>RyS</v>
      </c>
      <c r="K129" s="29">
        <f>VLOOKUP($D129,Lists!$J$1:$AB$29,6,FALSE)</f>
        <v>212</v>
      </c>
      <c r="L129" s="29" t="str">
        <f>VLOOKUP($D129,Lists!$J$1:$AB$29,7,FALSE)</f>
        <v>Rys</v>
      </c>
      <c r="M129" s="29">
        <f>VLOOKUP($D129,Lists!$J$1:$AB$29,8,FALSE)</f>
        <v>211</v>
      </c>
      <c r="N129" s="29" t="str">
        <f>VLOOKUP($D129,Lists!$J$1:$AB$29,9,FALSE)</f>
        <v>-</v>
      </c>
      <c r="O129" s="29" t="str">
        <f>VLOOKUP($D129,Lists!$J$1:$AB$29,10,FALSE)</f>
        <v>-</v>
      </c>
      <c r="P129" s="29" t="str">
        <f>VLOOKUP($D129,Lists!$J$1:$AB$29,11,FALSE)</f>
        <v>-</v>
      </c>
      <c r="Q129" s="29" t="str">
        <f>VLOOKUP($D129,Lists!$J$1:$AB$29,12,FALSE)</f>
        <v>-</v>
      </c>
      <c r="R129" s="29" t="str">
        <f>VLOOKUP($D129,Lists!$J$1:$AB$29,13,FALSE)</f>
        <v>-</v>
      </c>
      <c r="S129" s="29" t="str">
        <f>VLOOKUP($D129,Lists!$J$1:$AB$29,14,FALSE)</f>
        <v>-</v>
      </c>
      <c r="T129" s="29" t="str">
        <f>VLOOKUP($D129,Lists!$J$1:$AB$29,15,FALSE)</f>
        <v>-</v>
      </c>
      <c r="U129" s="29" t="str">
        <f>VLOOKUP($D129,Lists!$J$1:$AB$29,16,FALSE)</f>
        <v>-</v>
      </c>
      <c r="V129" s="29" t="str">
        <f>VLOOKUP($D129,Lists!$J$1:$AB$29,17,FALSE)</f>
        <v>-</v>
      </c>
      <c r="W129" s="29" t="str">
        <f>VLOOKUP($D129,Lists!$J$1:$AB$29,18,FALSE)</f>
        <v>-</v>
      </c>
      <c r="X129" s="29" t="str">
        <f>VLOOKUP($D129,Lists!$J$1:$AB$29,19,FALSE)</f>
        <v>-</v>
      </c>
      <c r="Y129" s="29" t="str">
        <f>VLOOKUP($D129,Lists!$J$1:$AC$29,20,FALSE)</f>
        <v>-</v>
      </c>
      <c r="Z129" s="32" t="str">
        <f t="shared" si="1"/>
        <v>3</v>
      </c>
    </row>
    <row r="130" spans="1:26" x14ac:dyDescent="0.25">
      <c r="A130" t="s">
        <v>79</v>
      </c>
      <c r="B130" t="s">
        <v>57</v>
      </c>
      <c r="C130" s="16" t="str">
        <f>A130&amp;B130</f>
        <v>MumsRed 4</v>
      </c>
      <c r="D130" s="8">
        <v>313</v>
      </c>
      <c r="E130" s="16" t="str">
        <f>A130&amp;D130</f>
        <v>Mums313</v>
      </c>
      <c r="F130" s="29" t="str">
        <f>VLOOKUP($D130,Lists!$J$1:$AB$29,2,FALSE)</f>
        <v>RR-yy-SS</v>
      </c>
      <c r="G130" t="s">
        <v>94</v>
      </c>
      <c r="H130" s="29" t="str">
        <f>VLOOKUP($D130,Lists!$J$1:$AB$29,3,FALSE)</f>
        <v>-</v>
      </c>
      <c r="I130" s="29">
        <f>VLOOKUP($D130,Lists!$J$1:$AB$29,4,FALSE)</f>
        <v>1</v>
      </c>
      <c r="J130" s="29" t="str">
        <f>VLOOKUP($D130,Lists!$J$1:$AB$29,5,FALSE)</f>
        <v>RyS</v>
      </c>
      <c r="K130" s="29">
        <f>VLOOKUP($D130,Lists!$J$1:$AB$29,6,FALSE)</f>
        <v>212</v>
      </c>
      <c r="L130" s="29" t="str">
        <f>VLOOKUP($D130,Lists!$J$1:$AB$29,7,FALSE)</f>
        <v>-</v>
      </c>
      <c r="M130" s="29" t="str">
        <f>VLOOKUP($D130,Lists!$J$1:$AB$29,8,FALSE)</f>
        <v>-</v>
      </c>
      <c r="N130" s="29" t="str">
        <f>VLOOKUP($D130,Lists!$J$1:$AB$29,9,FALSE)</f>
        <v>-</v>
      </c>
      <c r="O130" s="29" t="str">
        <f>VLOOKUP($D130,Lists!$J$1:$AB$29,10,FALSE)</f>
        <v>-</v>
      </c>
      <c r="P130" s="29" t="str">
        <f>VLOOKUP($D130,Lists!$J$1:$AB$29,11,FALSE)</f>
        <v>-</v>
      </c>
      <c r="Q130" s="29" t="str">
        <f>VLOOKUP($D130,Lists!$J$1:$AB$29,12,FALSE)</f>
        <v>-</v>
      </c>
      <c r="R130" s="29" t="str">
        <f>VLOOKUP($D130,Lists!$J$1:$AB$29,13,FALSE)</f>
        <v>-</v>
      </c>
      <c r="S130" s="29" t="str">
        <f>VLOOKUP($D130,Lists!$J$1:$AB$29,14,FALSE)</f>
        <v>-</v>
      </c>
      <c r="T130" s="29" t="str">
        <f>VLOOKUP($D130,Lists!$J$1:$AB$29,15,FALSE)</f>
        <v>-</v>
      </c>
      <c r="U130" s="29" t="str">
        <f>VLOOKUP($D130,Lists!$J$1:$AB$29,16,FALSE)</f>
        <v>-</v>
      </c>
      <c r="V130" s="29" t="str">
        <f>VLOOKUP($D130,Lists!$J$1:$AB$29,17,FALSE)</f>
        <v>-</v>
      </c>
      <c r="W130" s="29" t="str">
        <f>VLOOKUP($D130,Lists!$J$1:$AB$29,18,FALSE)</f>
        <v>-</v>
      </c>
      <c r="X130" s="29" t="str">
        <f>VLOOKUP($D130,Lists!$J$1:$AB$29,19,FALSE)</f>
        <v>-</v>
      </c>
      <c r="Y130" s="29" t="str">
        <f>VLOOKUP($D130,Lists!$J$1:$AC$29,20,FALSE)</f>
        <v>-</v>
      </c>
      <c r="Z130" s="32" t="str">
        <f t="shared" si="1"/>
        <v>4</v>
      </c>
    </row>
    <row r="131" spans="1:26" x14ac:dyDescent="0.25">
      <c r="A131" t="s">
        <v>79</v>
      </c>
      <c r="B131" t="s">
        <v>117</v>
      </c>
      <c r="C131" s="16" t="str">
        <f>A131&amp;B131</f>
        <v>MumsPurple 5</v>
      </c>
      <c r="D131" s="8">
        <v>321</v>
      </c>
      <c r="E131" s="16" t="str">
        <f>A131&amp;D131</f>
        <v>Mums321</v>
      </c>
      <c r="F131" s="29" t="str">
        <f>VLOOKUP($D131,Lists!$J$1:$AB$29,2,FALSE)</f>
        <v>RR-Yy-ss</v>
      </c>
      <c r="G131" t="s">
        <v>112</v>
      </c>
      <c r="H131" s="29" t="str">
        <f>VLOOKUP($D131,Lists!$J$1:$AB$29,3,FALSE)</f>
        <v>Y</v>
      </c>
      <c r="I131" s="29">
        <f>VLOOKUP($D131,Lists!$J$1:$AB$29,4,FALSE)</f>
        <v>2</v>
      </c>
      <c r="J131" s="29" t="str">
        <f>VLOOKUP($D131,Lists!$J$1:$AB$29,5,FALSE)</f>
        <v>RYs</v>
      </c>
      <c r="K131" s="29">
        <f>VLOOKUP($D131,Lists!$J$1:$AB$29,6,FALSE)</f>
        <v>221</v>
      </c>
      <c r="L131" s="29" t="str">
        <f>VLOOKUP($D131,Lists!$J$1:$AB$29,7,FALSE)</f>
        <v>Rys</v>
      </c>
      <c r="M131" s="29">
        <f>VLOOKUP($D131,Lists!$J$1:$AB$29,8,FALSE)</f>
        <v>211</v>
      </c>
      <c r="N131" s="29" t="str">
        <f>VLOOKUP($D131,Lists!$J$1:$AB$29,9,FALSE)</f>
        <v>-</v>
      </c>
      <c r="O131" s="29" t="str">
        <f>VLOOKUP($D131,Lists!$J$1:$AB$29,10,FALSE)</f>
        <v>-</v>
      </c>
      <c r="P131" s="29" t="str">
        <f>VLOOKUP($D131,Lists!$J$1:$AB$29,11,FALSE)</f>
        <v>-</v>
      </c>
      <c r="Q131" s="29" t="str">
        <f>VLOOKUP($D131,Lists!$J$1:$AB$29,12,FALSE)</f>
        <v>-</v>
      </c>
      <c r="R131" s="29" t="str">
        <f>VLOOKUP($D131,Lists!$J$1:$AB$29,13,FALSE)</f>
        <v>-</v>
      </c>
      <c r="S131" s="29" t="str">
        <f>VLOOKUP($D131,Lists!$J$1:$AB$29,14,FALSE)</f>
        <v>-</v>
      </c>
      <c r="T131" s="29" t="str">
        <f>VLOOKUP($D131,Lists!$J$1:$AB$29,15,FALSE)</f>
        <v>-</v>
      </c>
      <c r="U131" s="29" t="str">
        <f>VLOOKUP($D131,Lists!$J$1:$AB$29,16,FALSE)</f>
        <v>-</v>
      </c>
      <c r="V131" s="29" t="str">
        <f>VLOOKUP($D131,Lists!$J$1:$AB$29,17,FALSE)</f>
        <v>-</v>
      </c>
      <c r="W131" s="29" t="str">
        <f>VLOOKUP($D131,Lists!$J$1:$AB$29,18,FALSE)</f>
        <v>-</v>
      </c>
      <c r="X131" s="29" t="str">
        <f>VLOOKUP($D131,Lists!$J$1:$AB$29,19,FALSE)</f>
        <v>-</v>
      </c>
      <c r="Y131" s="29" t="str">
        <f>VLOOKUP($D131,Lists!$J$1:$AC$29,20,FALSE)</f>
        <v>-</v>
      </c>
      <c r="Z131" s="32" t="str">
        <f t="shared" ref="Z131:Z190" si="2">RIGHT(B131,1)</f>
        <v>5</v>
      </c>
    </row>
    <row r="132" spans="1:26" x14ac:dyDescent="0.25">
      <c r="A132" t="s">
        <v>79</v>
      </c>
      <c r="B132" t="s">
        <v>118</v>
      </c>
      <c r="C132" s="16" t="str">
        <f>A132&amp;B132</f>
        <v>MumsPurple 6</v>
      </c>
      <c r="D132" s="8">
        <v>322</v>
      </c>
      <c r="E132" s="16" t="str">
        <f>A132&amp;D132</f>
        <v>Mums322</v>
      </c>
      <c r="F132" s="29" t="str">
        <f>VLOOKUP($D132,Lists!$J$1:$AB$29,2,FALSE)</f>
        <v>RR-Yy-Ss</v>
      </c>
      <c r="G132" t="s">
        <v>112</v>
      </c>
      <c r="H132" s="29" t="str">
        <f>VLOOKUP($D132,Lists!$J$1:$AB$29,3,FALSE)</f>
        <v>YS</v>
      </c>
      <c r="I132" s="29">
        <f>VLOOKUP($D132,Lists!$J$1:$AB$29,4,FALSE)</f>
        <v>4</v>
      </c>
      <c r="J132" s="29" t="str">
        <f>VLOOKUP($D132,Lists!$J$1:$AB$29,5,FALSE)</f>
        <v>RYS</v>
      </c>
      <c r="K132" s="29">
        <f>VLOOKUP($D132,Lists!$J$1:$AB$29,6,FALSE)</f>
        <v>222</v>
      </c>
      <c r="L132" s="29" t="str">
        <f>VLOOKUP($D132,Lists!$J$1:$AB$29,7,FALSE)</f>
        <v>RyS</v>
      </c>
      <c r="M132" s="29">
        <f>VLOOKUP($D132,Lists!$J$1:$AB$29,8,FALSE)</f>
        <v>212</v>
      </c>
      <c r="N132" s="29" t="str">
        <f>VLOOKUP($D132,Lists!$J$1:$AB$29,9,FALSE)</f>
        <v>RYs</v>
      </c>
      <c r="O132" s="29">
        <f>VLOOKUP($D132,Lists!$J$1:$AB$29,10,FALSE)</f>
        <v>221</v>
      </c>
      <c r="P132" s="29" t="str">
        <f>VLOOKUP($D132,Lists!$J$1:$AB$29,11,FALSE)</f>
        <v>Rys</v>
      </c>
      <c r="Q132" s="29">
        <f>VLOOKUP($D132,Lists!$J$1:$AB$29,12,FALSE)</f>
        <v>211</v>
      </c>
      <c r="R132" s="29" t="str">
        <f>VLOOKUP($D132,Lists!$J$1:$AB$29,13,FALSE)</f>
        <v>-</v>
      </c>
      <c r="S132" s="29" t="str">
        <f>VLOOKUP($D132,Lists!$J$1:$AB$29,14,FALSE)</f>
        <v>-</v>
      </c>
      <c r="T132" s="29" t="str">
        <f>VLOOKUP($D132,Lists!$J$1:$AB$29,15,FALSE)</f>
        <v>-</v>
      </c>
      <c r="U132" s="29" t="str">
        <f>VLOOKUP($D132,Lists!$J$1:$AB$29,16,FALSE)</f>
        <v>-</v>
      </c>
      <c r="V132" s="29" t="str">
        <f>VLOOKUP($D132,Lists!$J$1:$AB$29,17,FALSE)</f>
        <v>-</v>
      </c>
      <c r="W132" s="29" t="str">
        <f>VLOOKUP($D132,Lists!$J$1:$AB$29,18,FALSE)</f>
        <v>-</v>
      </c>
      <c r="X132" s="29" t="str">
        <f>VLOOKUP($D132,Lists!$J$1:$AB$29,19,FALSE)</f>
        <v>-</v>
      </c>
      <c r="Y132" s="29" t="str">
        <f>VLOOKUP($D132,Lists!$J$1:$AC$29,20,FALSE)</f>
        <v>-</v>
      </c>
      <c r="Z132" s="32" t="str">
        <f t="shared" si="2"/>
        <v>6</v>
      </c>
    </row>
    <row r="133" spans="1:26" x14ac:dyDescent="0.25">
      <c r="A133" t="s">
        <v>79</v>
      </c>
      <c r="B133" t="s">
        <v>59</v>
      </c>
      <c r="C133" s="16" t="str">
        <f>A133&amp;B133</f>
        <v>MumsRed 5</v>
      </c>
      <c r="D133" s="8">
        <v>323</v>
      </c>
      <c r="E133" s="16" t="str">
        <f>A133&amp;D133</f>
        <v>Mums323</v>
      </c>
      <c r="F133" s="29" t="str">
        <f>VLOOKUP($D133,Lists!$J$1:$AB$29,2,FALSE)</f>
        <v>RR-Yy-SS</v>
      </c>
      <c r="G133" t="s">
        <v>94</v>
      </c>
      <c r="H133" s="29" t="str">
        <f>VLOOKUP($D133,Lists!$J$1:$AB$29,3,FALSE)</f>
        <v>Y</v>
      </c>
      <c r="I133" s="29">
        <f>VLOOKUP($D133,Lists!$J$1:$AB$29,4,FALSE)</f>
        <v>2</v>
      </c>
      <c r="J133" s="29" t="str">
        <f>VLOOKUP($D133,Lists!$J$1:$AB$29,5,FALSE)</f>
        <v>RYS</v>
      </c>
      <c r="K133" s="29">
        <f>VLOOKUP($D133,Lists!$J$1:$AB$29,6,FALSE)</f>
        <v>222</v>
      </c>
      <c r="L133" s="29" t="str">
        <f>VLOOKUP($D133,Lists!$J$1:$AB$29,7,FALSE)</f>
        <v>RyS</v>
      </c>
      <c r="M133" s="29">
        <f>VLOOKUP($D133,Lists!$J$1:$AB$29,8,FALSE)</f>
        <v>212</v>
      </c>
      <c r="N133" s="29" t="str">
        <f>VLOOKUP($D133,Lists!$J$1:$AB$29,9,FALSE)</f>
        <v>-</v>
      </c>
      <c r="O133" s="29" t="str">
        <f>VLOOKUP($D133,Lists!$J$1:$AB$29,10,FALSE)</f>
        <v>-</v>
      </c>
      <c r="P133" s="29" t="str">
        <f>VLOOKUP($D133,Lists!$J$1:$AB$29,11,FALSE)</f>
        <v>-</v>
      </c>
      <c r="Q133" s="29" t="str">
        <f>VLOOKUP($D133,Lists!$J$1:$AB$29,12,FALSE)</f>
        <v>-</v>
      </c>
      <c r="R133" s="29" t="str">
        <f>VLOOKUP($D133,Lists!$J$1:$AB$29,13,FALSE)</f>
        <v>-</v>
      </c>
      <c r="S133" s="29" t="str">
        <f>VLOOKUP($D133,Lists!$J$1:$AB$29,14,FALSE)</f>
        <v>-</v>
      </c>
      <c r="T133" s="29" t="str">
        <f>VLOOKUP($D133,Lists!$J$1:$AB$29,15,FALSE)</f>
        <v>-</v>
      </c>
      <c r="U133" s="29" t="str">
        <f>VLOOKUP($D133,Lists!$J$1:$AB$29,16,FALSE)</f>
        <v>-</v>
      </c>
      <c r="V133" s="29" t="str">
        <f>VLOOKUP($D133,Lists!$J$1:$AB$29,17,FALSE)</f>
        <v>-</v>
      </c>
      <c r="W133" s="29" t="str">
        <f>VLOOKUP($D133,Lists!$J$1:$AB$29,18,FALSE)</f>
        <v>-</v>
      </c>
      <c r="X133" s="29" t="str">
        <f>VLOOKUP($D133,Lists!$J$1:$AB$29,19,FALSE)</f>
        <v>-</v>
      </c>
      <c r="Y133" s="29" t="str">
        <f>VLOOKUP($D133,Lists!$J$1:$AC$29,20,FALSE)</f>
        <v>-</v>
      </c>
      <c r="Z133" s="32" t="str">
        <f t="shared" si="2"/>
        <v>5</v>
      </c>
    </row>
    <row r="134" spans="1:26" x14ac:dyDescent="0.25">
      <c r="A134" t="s">
        <v>79</v>
      </c>
      <c r="B134" t="s">
        <v>114</v>
      </c>
      <c r="C134" s="16" t="str">
        <f>A134&amp;B134</f>
        <v>MumsGreen 1</v>
      </c>
      <c r="D134" s="8">
        <v>331</v>
      </c>
      <c r="E134" s="16" t="str">
        <f>A134&amp;D134</f>
        <v>Mums331</v>
      </c>
      <c r="F134" s="29" t="str">
        <f>VLOOKUP($D134,Lists!$J$1:$AB$29,2,FALSE)</f>
        <v>RR-YY-ss</v>
      </c>
      <c r="G134" t="s">
        <v>140</v>
      </c>
      <c r="H134" s="29" t="str">
        <f>VLOOKUP($D134,Lists!$J$1:$AB$29,3,FALSE)</f>
        <v>-</v>
      </c>
      <c r="I134" s="29">
        <f>VLOOKUP($D134,Lists!$J$1:$AB$29,4,FALSE)</f>
        <v>1</v>
      </c>
      <c r="J134" s="29" t="str">
        <f>VLOOKUP($D134,Lists!$J$1:$AB$29,5,FALSE)</f>
        <v>RYs</v>
      </c>
      <c r="K134" s="29">
        <f>VLOOKUP($D134,Lists!$J$1:$AB$29,6,FALSE)</f>
        <v>221</v>
      </c>
      <c r="L134" s="29" t="str">
        <f>VLOOKUP($D134,Lists!$J$1:$AB$29,7,FALSE)</f>
        <v>-</v>
      </c>
      <c r="M134" s="29" t="str">
        <f>VLOOKUP($D134,Lists!$J$1:$AB$29,8,FALSE)</f>
        <v>-</v>
      </c>
      <c r="N134" s="29" t="str">
        <f>VLOOKUP($D134,Lists!$J$1:$AB$29,9,FALSE)</f>
        <v>-</v>
      </c>
      <c r="O134" s="29" t="str">
        <f>VLOOKUP($D134,Lists!$J$1:$AB$29,10,FALSE)</f>
        <v>-</v>
      </c>
      <c r="P134" s="29" t="str">
        <f>VLOOKUP($D134,Lists!$J$1:$AB$29,11,FALSE)</f>
        <v>-</v>
      </c>
      <c r="Q134" s="29" t="str">
        <f>VLOOKUP($D134,Lists!$J$1:$AB$29,12,FALSE)</f>
        <v>-</v>
      </c>
      <c r="R134" s="29" t="str">
        <f>VLOOKUP($D134,Lists!$J$1:$AB$29,13,FALSE)</f>
        <v>-</v>
      </c>
      <c r="S134" s="29" t="str">
        <f>VLOOKUP($D134,Lists!$J$1:$AB$29,14,FALSE)</f>
        <v>-</v>
      </c>
      <c r="T134" s="29" t="str">
        <f>VLOOKUP($D134,Lists!$J$1:$AB$29,15,FALSE)</f>
        <v>-</v>
      </c>
      <c r="U134" s="29" t="str">
        <f>VLOOKUP($D134,Lists!$J$1:$AB$29,16,FALSE)</f>
        <v>-</v>
      </c>
      <c r="V134" s="29" t="str">
        <f>VLOOKUP($D134,Lists!$J$1:$AB$29,17,FALSE)</f>
        <v>-</v>
      </c>
      <c r="W134" s="29" t="str">
        <f>VLOOKUP($D134,Lists!$J$1:$AB$29,18,FALSE)</f>
        <v>-</v>
      </c>
      <c r="X134" s="29" t="str">
        <f>VLOOKUP($D134,Lists!$J$1:$AB$29,19,FALSE)</f>
        <v>-</v>
      </c>
      <c r="Y134" s="29" t="str">
        <f>VLOOKUP($D134,Lists!$J$1:$AC$29,20,FALSE)</f>
        <v>-</v>
      </c>
      <c r="Z134" s="32" t="str">
        <f t="shared" si="2"/>
        <v>1</v>
      </c>
    </row>
    <row r="135" spans="1:26" x14ac:dyDescent="0.25">
      <c r="A135" t="s">
        <v>79</v>
      </c>
      <c r="B135" t="s">
        <v>115</v>
      </c>
      <c r="C135" s="16" t="str">
        <f>A135&amp;B135</f>
        <v>MumsGreen 2</v>
      </c>
      <c r="D135" s="8">
        <v>332</v>
      </c>
      <c r="E135" s="16" t="str">
        <f>A135&amp;D135</f>
        <v>Mums332</v>
      </c>
      <c r="F135" s="29" t="str">
        <f>VLOOKUP($D135,Lists!$J$1:$AB$29,2,FALSE)</f>
        <v>RR-YY-Ss</v>
      </c>
      <c r="G135" t="s">
        <v>140</v>
      </c>
      <c r="H135" s="29" t="str">
        <f>VLOOKUP($D135,Lists!$J$1:$AB$29,3,FALSE)</f>
        <v>S</v>
      </c>
      <c r="I135" s="29">
        <f>VLOOKUP($D135,Lists!$J$1:$AB$29,4,FALSE)</f>
        <v>2</v>
      </c>
      <c r="J135" s="29" t="str">
        <f>VLOOKUP($D135,Lists!$J$1:$AB$29,5,FALSE)</f>
        <v>RYS</v>
      </c>
      <c r="K135" s="29">
        <f>VLOOKUP($D135,Lists!$J$1:$AB$29,6,FALSE)</f>
        <v>222</v>
      </c>
      <c r="L135" s="29" t="str">
        <f>VLOOKUP($D135,Lists!$J$1:$AB$29,7,FALSE)</f>
        <v>Rys</v>
      </c>
      <c r="M135" s="29">
        <f>VLOOKUP($D135,Lists!$J$1:$AB$29,8,FALSE)</f>
        <v>211</v>
      </c>
      <c r="N135" s="29" t="str">
        <f>VLOOKUP($D135,Lists!$J$1:$AB$29,9,FALSE)</f>
        <v>-</v>
      </c>
      <c r="O135" s="29" t="str">
        <f>VLOOKUP($D135,Lists!$J$1:$AB$29,10,FALSE)</f>
        <v>-</v>
      </c>
      <c r="P135" s="29" t="str">
        <f>VLOOKUP($D135,Lists!$J$1:$AB$29,11,FALSE)</f>
        <v>-</v>
      </c>
      <c r="Q135" s="29" t="str">
        <f>VLOOKUP($D135,Lists!$J$1:$AB$29,12,FALSE)</f>
        <v>-</v>
      </c>
      <c r="R135" s="29" t="str">
        <f>VLOOKUP($D135,Lists!$J$1:$AB$29,13,FALSE)</f>
        <v>-</v>
      </c>
      <c r="S135" s="29" t="str">
        <f>VLOOKUP($D135,Lists!$J$1:$AB$29,14,FALSE)</f>
        <v>-</v>
      </c>
      <c r="T135" s="29" t="str">
        <f>VLOOKUP($D135,Lists!$J$1:$AB$29,15,FALSE)</f>
        <v>-</v>
      </c>
      <c r="U135" s="29" t="str">
        <f>VLOOKUP($D135,Lists!$J$1:$AB$29,16,FALSE)</f>
        <v>-</v>
      </c>
      <c r="V135" s="29" t="str">
        <f>VLOOKUP($D135,Lists!$J$1:$AB$29,17,FALSE)</f>
        <v>-</v>
      </c>
      <c r="W135" s="29" t="str">
        <f>VLOOKUP($D135,Lists!$J$1:$AB$29,18,FALSE)</f>
        <v>-</v>
      </c>
      <c r="X135" s="29" t="str">
        <f>VLOOKUP($D135,Lists!$J$1:$AB$29,19,FALSE)</f>
        <v>-</v>
      </c>
      <c r="Y135" s="29" t="str">
        <f>VLOOKUP($D135,Lists!$J$1:$AC$29,20,FALSE)</f>
        <v>-</v>
      </c>
      <c r="Z135" s="32" t="str">
        <f t="shared" si="2"/>
        <v>2</v>
      </c>
    </row>
    <row r="136" spans="1:26" x14ac:dyDescent="0.25">
      <c r="A136" t="s">
        <v>79</v>
      </c>
      <c r="B136" t="s">
        <v>109</v>
      </c>
      <c r="C136" s="16" t="str">
        <f>A136&amp;B136</f>
        <v>MumsRed 6</v>
      </c>
      <c r="D136" s="8">
        <v>333</v>
      </c>
      <c r="E136" s="16" t="str">
        <f>A136&amp;D136</f>
        <v>Mums333</v>
      </c>
      <c r="F136" s="29" t="str">
        <f>VLOOKUP($D136,Lists!$J$1:$AB$29,2,FALSE)</f>
        <v>RR-YY-SS</v>
      </c>
      <c r="G136" t="s">
        <v>94</v>
      </c>
      <c r="H136" s="29" t="str">
        <f>VLOOKUP($D136,Lists!$J$1:$AB$29,3,FALSE)</f>
        <v>-</v>
      </c>
      <c r="I136" s="29">
        <f>VLOOKUP($D136,Lists!$J$1:$AB$29,4,FALSE)</f>
        <v>1</v>
      </c>
      <c r="J136" s="29" t="str">
        <f>VLOOKUP($D136,Lists!$J$1:$AB$29,5,FALSE)</f>
        <v>RYS</v>
      </c>
      <c r="K136" s="29">
        <f>VLOOKUP($D136,Lists!$J$1:$AB$29,6,FALSE)</f>
        <v>222</v>
      </c>
      <c r="L136" s="29" t="str">
        <f>VLOOKUP($D136,Lists!$J$1:$AB$29,7,FALSE)</f>
        <v>-</v>
      </c>
      <c r="M136" s="29" t="str">
        <f>VLOOKUP($D136,Lists!$J$1:$AB$29,8,FALSE)</f>
        <v>-</v>
      </c>
      <c r="N136" s="29" t="str">
        <f>VLOOKUP($D136,Lists!$J$1:$AB$29,9,FALSE)</f>
        <v>-</v>
      </c>
      <c r="O136" s="29" t="str">
        <f>VLOOKUP($D136,Lists!$J$1:$AB$29,10,FALSE)</f>
        <v>-</v>
      </c>
      <c r="P136" s="29" t="str">
        <f>VLOOKUP($D136,Lists!$J$1:$AB$29,11,FALSE)</f>
        <v>-</v>
      </c>
      <c r="Q136" s="29" t="str">
        <f>VLOOKUP($D136,Lists!$J$1:$AB$29,12,FALSE)</f>
        <v>-</v>
      </c>
      <c r="R136" s="29" t="str">
        <f>VLOOKUP($D136,Lists!$J$1:$AB$29,13,FALSE)</f>
        <v>-</v>
      </c>
      <c r="S136" s="29" t="str">
        <f>VLOOKUP($D136,Lists!$J$1:$AB$29,14,FALSE)</f>
        <v>-</v>
      </c>
      <c r="T136" s="29" t="str">
        <f>VLOOKUP($D136,Lists!$J$1:$AB$29,15,FALSE)</f>
        <v>-</v>
      </c>
      <c r="U136" s="29" t="str">
        <f>VLOOKUP($D136,Lists!$J$1:$AB$29,16,FALSE)</f>
        <v>-</v>
      </c>
      <c r="V136" s="29" t="str">
        <f>VLOOKUP($D136,Lists!$J$1:$AB$29,17,FALSE)</f>
        <v>-</v>
      </c>
      <c r="W136" s="29" t="str">
        <f>VLOOKUP($D136,Lists!$J$1:$AB$29,18,FALSE)</f>
        <v>-</v>
      </c>
      <c r="X136" s="29" t="str">
        <f>VLOOKUP($D136,Lists!$J$1:$AB$29,19,FALSE)</f>
        <v>-</v>
      </c>
      <c r="Y136" s="29" t="str">
        <f>VLOOKUP($D136,Lists!$J$1:$AC$29,20,FALSE)</f>
        <v>-</v>
      </c>
      <c r="Z136" s="32" t="str">
        <f t="shared" si="2"/>
        <v>6</v>
      </c>
    </row>
    <row r="137" spans="1:26" x14ac:dyDescent="0.25">
      <c r="A137" t="s">
        <v>83</v>
      </c>
      <c r="B137" t="s">
        <v>40</v>
      </c>
      <c r="C137" s="16" t="str">
        <f>A137&amp;B137</f>
        <v>TulipsWhite 2</v>
      </c>
      <c r="D137" s="8">
        <v>111</v>
      </c>
      <c r="E137" s="16" t="str">
        <f>A137&amp;D137</f>
        <v>Tulips111</v>
      </c>
      <c r="F137" s="29" t="str">
        <f>VLOOKUP($D137,Lists!$J$1:$AB$29,2,FALSE)</f>
        <v>rr-yy-ss</v>
      </c>
      <c r="G137" t="s">
        <v>96</v>
      </c>
      <c r="H137" s="29" t="str">
        <f>VLOOKUP($D137,Lists!$J$1:$AB$29,3,FALSE)</f>
        <v>-</v>
      </c>
      <c r="I137" s="29">
        <f>VLOOKUP($D137,Lists!$J$1:$AB$29,4,FALSE)</f>
        <v>1</v>
      </c>
      <c r="J137" s="29" t="str">
        <f>VLOOKUP($D137,Lists!$J$1:$AB$29,5,FALSE)</f>
        <v>rys</v>
      </c>
      <c r="K137" s="29">
        <f>VLOOKUP($D137,Lists!$J$1:$AB$29,6,FALSE)</f>
        <v>111</v>
      </c>
      <c r="L137" s="29" t="str">
        <f>VLOOKUP($D137,Lists!$J$1:$AB$29,7,FALSE)</f>
        <v>-</v>
      </c>
      <c r="M137" s="29" t="str">
        <f>VLOOKUP($D137,Lists!$J$1:$AB$29,8,FALSE)</f>
        <v>-</v>
      </c>
      <c r="N137" s="29" t="str">
        <f>VLOOKUP($D137,Lists!$J$1:$AB$29,9,FALSE)</f>
        <v>-</v>
      </c>
      <c r="O137" s="29" t="str">
        <f>VLOOKUP($D137,Lists!$J$1:$AB$29,10,FALSE)</f>
        <v>-</v>
      </c>
      <c r="P137" s="29" t="str">
        <f>VLOOKUP($D137,Lists!$J$1:$AB$29,11,FALSE)</f>
        <v>-</v>
      </c>
      <c r="Q137" s="29" t="str">
        <f>VLOOKUP($D137,Lists!$J$1:$AB$29,12,FALSE)</f>
        <v>-</v>
      </c>
      <c r="R137" s="29" t="str">
        <f>VLOOKUP($D137,Lists!$J$1:$AB$29,13,FALSE)</f>
        <v>-</v>
      </c>
      <c r="S137" s="29" t="str">
        <f>VLOOKUP($D137,Lists!$J$1:$AB$29,14,FALSE)</f>
        <v>-</v>
      </c>
      <c r="T137" s="29" t="str">
        <f>VLOOKUP($D137,Lists!$J$1:$AB$29,15,FALSE)</f>
        <v>-</v>
      </c>
      <c r="U137" s="29" t="str">
        <f>VLOOKUP($D137,Lists!$J$1:$AB$29,16,FALSE)</f>
        <v>-</v>
      </c>
      <c r="V137" s="29" t="str">
        <f>VLOOKUP($D137,Lists!$J$1:$AB$29,17,FALSE)</f>
        <v>-</v>
      </c>
      <c r="W137" s="29" t="str">
        <f>VLOOKUP($D137,Lists!$J$1:$AB$29,18,FALSE)</f>
        <v>-</v>
      </c>
      <c r="X137" s="29" t="str">
        <f>VLOOKUP($D137,Lists!$J$1:$AB$29,19,FALSE)</f>
        <v>-</v>
      </c>
      <c r="Y137" s="29" t="str">
        <f>VLOOKUP($D137,Lists!$J$1:$AC$29,20,FALSE)</f>
        <v>-</v>
      </c>
      <c r="Z137" s="32" t="str">
        <f t="shared" si="2"/>
        <v>2</v>
      </c>
    </row>
    <row r="138" spans="1:26" x14ac:dyDescent="0.25">
      <c r="A138" t="s">
        <v>83</v>
      </c>
      <c r="B138" t="s">
        <v>85</v>
      </c>
      <c r="C138" s="16" t="str">
        <f>A138&amp;B138</f>
        <v>TulipsWhite Seed</v>
      </c>
      <c r="D138" s="8">
        <v>112</v>
      </c>
      <c r="E138" s="16" t="str">
        <f>A138&amp;D138</f>
        <v>Tulips112</v>
      </c>
      <c r="F138" s="29" t="str">
        <f>VLOOKUP($D138,Lists!$J$1:$AB$29,2,FALSE)</f>
        <v>rr-yy-Ss</v>
      </c>
      <c r="G138" t="s">
        <v>96</v>
      </c>
      <c r="H138" s="29" t="str">
        <f>VLOOKUP($D138,Lists!$J$1:$AB$29,3,FALSE)</f>
        <v>S</v>
      </c>
      <c r="I138" s="29">
        <f>VLOOKUP($D138,Lists!$J$1:$AB$29,4,FALSE)</f>
        <v>2</v>
      </c>
      <c r="J138" s="29" t="str">
        <f>VLOOKUP($D138,Lists!$J$1:$AB$29,5,FALSE)</f>
        <v>rys</v>
      </c>
      <c r="K138" s="29">
        <f>VLOOKUP($D138,Lists!$J$1:$AB$29,6,FALSE)</f>
        <v>111</v>
      </c>
      <c r="L138" s="29" t="str">
        <f>VLOOKUP($D138,Lists!$J$1:$AB$29,7,FALSE)</f>
        <v>ryS</v>
      </c>
      <c r="M138" s="29">
        <f>VLOOKUP($D138,Lists!$J$1:$AB$29,8,FALSE)</f>
        <v>112</v>
      </c>
      <c r="N138" s="29" t="str">
        <f>VLOOKUP($D138,Lists!$J$1:$AB$29,9,FALSE)</f>
        <v>-</v>
      </c>
      <c r="O138" s="29" t="str">
        <f>VLOOKUP($D138,Lists!$J$1:$AB$29,10,FALSE)</f>
        <v>-</v>
      </c>
      <c r="P138" s="29" t="str">
        <f>VLOOKUP($D138,Lists!$J$1:$AB$29,11,FALSE)</f>
        <v>-</v>
      </c>
      <c r="Q138" s="29" t="str">
        <f>VLOOKUP($D138,Lists!$J$1:$AB$29,12,FALSE)</f>
        <v>-</v>
      </c>
      <c r="R138" s="29" t="str">
        <f>VLOOKUP($D138,Lists!$J$1:$AB$29,13,FALSE)</f>
        <v>-</v>
      </c>
      <c r="S138" s="29" t="str">
        <f>VLOOKUP($D138,Lists!$J$1:$AB$29,14,FALSE)</f>
        <v>-</v>
      </c>
      <c r="T138" s="29" t="str">
        <f>VLOOKUP($D138,Lists!$J$1:$AB$29,15,FALSE)</f>
        <v>-</v>
      </c>
      <c r="U138" s="29" t="str">
        <f>VLOOKUP($D138,Lists!$J$1:$AB$29,16,FALSE)</f>
        <v>-</v>
      </c>
      <c r="V138" s="29" t="str">
        <f>VLOOKUP($D138,Lists!$J$1:$AB$29,17,FALSE)</f>
        <v>-</v>
      </c>
      <c r="W138" s="29" t="str">
        <f>VLOOKUP($D138,Lists!$J$1:$AB$29,18,FALSE)</f>
        <v>-</v>
      </c>
      <c r="X138" s="29" t="str">
        <f>VLOOKUP($D138,Lists!$J$1:$AB$29,19,FALSE)</f>
        <v>-</v>
      </c>
      <c r="Y138" s="29" t="str">
        <f>VLOOKUP($D138,Lists!$J$1:$AC$29,20,FALSE)</f>
        <v>-</v>
      </c>
      <c r="Z138" s="32" t="s">
        <v>141</v>
      </c>
    </row>
    <row r="139" spans="1:26" x14ac:dyDescent="0.25">
      <c r="A139" t="s">
        <v>83</v>
      </c>
      <c r="B139" t="s">
        <v>41</v>
      </c>
      <c r="C139" s="16" t="str">
        <f>A139&amp;B139</f>
        <v>TulipsWhite 3</v>
      </c>
      <c r="D139" s="8">
        <v>113</v>
      </c>
      <c r="E139" s="16" t="str">
        <f>A139&amp;D139</f>
        <v>Tulips113</v>
      </c>
      <c r="F139" s="29" t="str">
        <f>VLOOKUP($D139,Lists!$J$1:$AB$29,2,FALSE)</f>
        <v>rr-yy-SS</v>
      </c>
      <c r="G139" t="s">
        <v>96</v>
      </c>
      <c r="H139" s="29" t="str">
        <f>VLOOKUP($D139,Lists!$J$1:$AB$29,3,FALSE)</f>
        <v>-</v>
      </c>
      <c r="I139" s="29">
        <f>VLOOKUP($D139,Lists!$J$1:$AB$29,4,FALSE)</f>
        <v>1</v>
      </c>
      <c r="J139" s="29" t="str">
        <f>VLOOKUP($D139,Lists!$J$1:$AB$29,5,FALSE)</f>
        <v>ryS</v>
      </c>
      <c r="K139" s="29">
        <f>VLOOKUP($D139,Lists!$J$1:$AB$29,6,FALSE)</f>
        <v>112</v>
      </c>
      <c r="L139" s="29" t="str">
        <f>VLOOKUP($D139,Lists!$J$1:$AB$29,7,FALSE)</f>
        <v>-</v>
      </c>
      <c r="M139" s="29" t="str">
        <f>VLOOKUP($D139,Lists!$J$1:$AB$29,8,FALSE)</f>
        <v>-</v>
      </c>
      <c r="N139" s="29" t="str">
        <f>VLOOKUP($D139,Lists!$J$1:$AB$29,9,FALSE)</f>
        <v>-</v>
      </c>
      <c r="O139" s="29" t="str">
        <f>VLOOKUP($D139,Lists!$J$1:$AB$29,10,FALSE)</f>
        <v>-</v>
      </c>
      <c r="P139" s="29" t="str">
        <f>VLOOKUP($D139,Lists!$J$1:$AB$29,11,FALSE)</f>
        <v>-</v>
      </c>
      <c r="Q139" s="29" t="str">
        <f>VLOOKUP($D139,Lists!$J$1:$AB$29,12,FALSE)</f>
        <v>-</v>
      </c>
      <c r="R139" s="29" t="str">
        <f>VLOOKUP($D139,Lists!$J$1:$AB$29,13,FALSE)</f>
        <v>-</v>
      </c>
      <c r="S139" s="29" t="str">
        <f>VLOOKUP($D139,Lists!$J$1:$AB$29,14,FALSE)</f>
        <v>-</v>
      </c>
      <c r="T139" s="29" t="str">
        <f>VLOOKUP($D139,Lists!$J$1:$AB$29,15,FALSE)</f>
        <v>-</v>
      </c>
      <c r="U139" s="29" t="str">
        <f>VLOOKUP($D139,Lists!$J$1:$AB$29,16,FALSE)</f>
        <v>-</v>
      </c>
      <c r="V139" s="29" t="str">
        <f>VLOOKUP($D139,Lists!$J$1:$AB$29,17,FALSE)</f>
        <v>-</v>
      </c>
      <c r="W139" s="29" t="str">
        <f>VLOOKUP($D139,Lists!$J$1:$AB$29,18,FALSE)</f>
        <v>-</v>
      </c>
      <c r="X139" s="29" t="str">
        <f>VLOOKUP($D139,Lists!$J$1:$AB$29,19,FALSE)</f>
        <v>-</v>
      </c>
      <c r="Y139" s="29" t="str">
        <f>VLOOKUP($D139,Lists!$J$1:$AC$29,20,FALSE)</f>
        <v>-</v>
      </c>
      <c r="Z139" s="32" t="str">
        <f t="shared" si="2"/>
        <v>3</v>
      </c>
    </row>
    <row r="140" spans="1:26" x14ac:dyDescent="0.25">
      <c r="A140" t="s">
        <v>83</v>
      </c>
      <c r="B140" t="s">
        <v>42</v>
      </c>
      <c r="C140" s="16" t="str">
        <f>A140&amp;B140</f>
        <v>TulipsYellow 2</v>
      </c>
      <c r="D140" s="8">
        <v>121</v>
      </c>
      <c r="E140" s="16" t="str">
        <f>A140&amp;D140</f>
        <v>Tulips121</v>
      </c>
      <c r="F140" s="29" t="str">
        <f>VLOOKUP($D140,Lists!$J$1:$AB$29,2,FALSE)</f>
        <v>rr-Yy-ss</v>
      </c>
      <c r="G140" t="s">
        <v>95</v>
      </c>
      <c r="H140" s="29" t="str">
        <f>VLOOKUP($D140,Lists!$J$1:$AB$29,3,FALSE)</f>
        <v>Y</v>
      </c>
      <c r="I140" s="29">
        <f>VLOOKUP($D140,Lists!$J$1:$AB$29,4,FALSE)</f>
        <v>2</v>
      </c>
      <c r="J140" s="29" t="str">
        <f>VLOOKUP($D140,Lists!$J$1:$AB$29,5,FALSE)</f>
        <v>rYs</v>
      </c>
      <c r="K140" s="29">
        <f>VLOOKUP($D140,Lists!$J$1:$AB$29,6,FALSE)</f>
        <v>121</v>
      </c>
      <c r="L140" s="29" t="str">
        <f>VLOOKUP($D140,Lists!$J$1:$AB$29,7,FALSE)</f>
        <v>rys</v>
      </c>
      <c r="M140" s="29">
        <f>VLOOKUP($D140,Lists!$J$1:$AB$29,8,FALSE)</f>
        <v>111</v>
      </c>
      <c r="N140" s="29" t="str">
        <f>VLOOKUP($D140,Lists!$J$1:$AB$29,9,FALSE)</f>
        <v>-</v>
      </c>
      <c r="O140" s="29" t="str">
        <f>VLOOKUP($D140,Lists!$J$1:$AB$29,10,FALSE)</f>
        <v>-</v>
      </c>
      <c r="P140" s="29" t="str">
        <f>VLOOKUP($D140,Lists!$J$1:$AB$29,11,FALSE)</f>
        <v>-</v>
      </c>
      <c r="Q140" s="29" t="str">
        <f>VLOOKUP($D140,Lists!$J$1:$AB$29,12,FALSE)</f>
        <v>-</v>
      </c>
      <c r="R140" s="29" t="str">
        <f>VLOOKUP($D140,Lists!$J$1:$AB$29,13,FALSE)</f>
        <v>-</v>
      </c>
      <c r="S140" s="29" t="str">
        <f>VLOOKUP($D140,Lists!$J$1:$AB$29,14,FALSE)</f>
        <v>-</v>
      </c>
      <c r="T140" s="29" t="str">
        <f>VLOOKUP($D140,Lists!$J$1:$AB$29,15,FALSE)</f>
        <v>-</v>
      </c>
      <c r="U140" s="29" t="str">
        <f>VLOOKUP($D140,Lists!$J$1:$AB$29,16,FALSE)</f>
        <v>-</v>
      </c>
      <c r="V140" s="29" t="str">
        <f>VLOOKUP($D140,Lists!$J$1:$AB$29,17,FALSE)</f>
        <v>-</v>
      </c>
      <c r="W140" s="29" t="str">
        <f>VLOOKUP($D140,Lists!$J$1:$AB$29,18,FALSE)</f>
        <v>-</v>
      </c>
      <c r="X140" s="29" t="str">
        <f>VLOOKUP($D140,Lists!$J$1:$AB$29,19,FALSE)</f>
        <v>-</v>
      </c>
      <c r="Y140" s="29" t="str">
        <f>VLOOKUP($D140,Lists!$J$1:$AC$29,20,FALSE)</f>
        <v>-</v>
      </c>
      <c r="Z140" s="32" t="str">
        <f t="shared" si="2"/>
        <v>2</v>
      </c>
    </row>
    <row r="141" spans="1:26" x14ac:dyDescent="0.25">
      <c r="A141" t="s">
        <v>83</v>
      </c>
      <c r="B141" t="s">
        <v>43</v>
      </c>
      <c r="C141" s="16" t="str">
        <f>A141&amp;B141</f>
        <v>TulipsYellow 3</v>
      </c>
      <c r="D141" s="8">
        <v>122</v>
      </c>
      <c r="E141" s="16" t="str">
        <f>A141&amp;D141</f>
        <v>Tulips122</v>
      </c>
      <c r="F141" s="29" t="str">
        <f>VLOOKUP($D141,Lists!$J$1:$AB$29,2,FALSE)</f>
        <v>rr-Yy-Ss</v>
      </c>
      <c r="G141" t="s">
        <v>95</v>
      </c>
      <c r="H141" s="29" t="str">
        <f>VLOOKUP($D141,Lists!$J$1:$AB$29,3,FALSE)</f>
        <v>YS</v>
      </c>
      <c r="I141" s="29">
        <f>VLOOKUP($D141,Lists!$J$1:$AB$29,4,FALSE)</f>
        <v>4</v>
      </c>
      <c r="J141" s="29" t="str">
        <f>VLOOKUP($D141,Lists!$J$1:$AB$29,5,FALSE)</f>
        <v>rYS</v>
      </c>
      <c r="K141" s="29">
        <f>VLOOKUP($D141,Lists!$J$1:$AB$29,6,FALSE)</f>
        <v>122</v>
      </c>
      <c r="L141" s="29" t="str">
        <f>VLOOKUP($D141,Lists!$J$1:$AB$29,7,FALSE)</f>
        <v>ryS</v>
      </c>
      <c r="M141" s="29">
        <f>VLOOKUP($D141,Lists!$J$1:$AB$29,8,FALSE)</f>
        <v>112</v>
      </c>
      <c r="N141" s="29" t="str">
        <f>VLOOKUP($D141,Lists!$J$1:$AB$29,9,FALSE)</f>
        <v>rYs</v>
      </c>
      <c r="O141" s="29">
        <f>VLOOKUP($D141,Lists!$J$1:$AB$29,10,FALSE)</f>
        <v>121</v>
      </c>
      <c r="P141" s="29" t="str">
        <f>VLOOKUP($D141,Lists!$J$1:$AB$29,11,FALSE)</f>
        <v>rys</v>
      </c>
      <c r="Q141" s="29">
        <f>VLOOKUP($D141,Lists!$J$1:$AB$29,12,FALSE)</f>
        <v>111</v>
      </c>
      <c r="R141" s="29" t="str">
        <f>VLOOKUP($D141,Lists!$J$1:$AB$29,13,FALSE)</f>
        <v>-</v>
      </c>
      <c r="S141" s="29" t="str">
        <f>VLOOKUP($D141,Lists!$J$1:$AB$29,14,FALSE)</f>
        <v>-</v>
      </c>
      <c r="T141" s="29" t="str">
        <f>VLOOKUP($D141,Lists!$J$1:$AB$29,15,FALSE)</f>
        <v>-</v>
      </c>
      <c r="U141" s="29" t="str">
        <f>VLOOKUP($D141,Lists!$J$1:$AB$29,16,FALSE)</f>
        <v>-</v>
      </c>
      <c r="V141" s="29" t="str">
        <f>VLOOKUP($D141,Lists!$J$1:$AB$29,17,FALSE)</f>
        <v>-</v>
      </c>
      <c r="W141" s="29" t="str">
        <f>VLOOKUP($D141,Lists!$J$1:$AB$29,18,FALSE)</f>
        <v>-</v>
      </c>
      <c r="X141" s="29" t="str">
        <f>VLOOKUP($D141,Lists!$J$1:$AB$29,19,FALSE)</f>
        <v>-</v>
      </c>
      <c r="Y141" s="29" t="str">
        <f>VLOOKUP($D141,Lists!$J$1:$AC$29,20,FALSE)</f>
        <v>-</v>
      </c>
      <c r="Z141" s="32" t="str">
        <f t="shared" si="2"/>
        <v>3</v>
      </c>
    </row>
    <row r="142" spans="1:26" x14ac:dyDescent="0.25">
      <c r="A142" t="s">
        <v>83</v>
      </c>
      <c r="B142" t="s">
        <v>52</v>
      </c>
      <c r="C142" s="16" t="str">
        <f>A142&amp;B142</f>
        <v>TulipsWhite 4</v>
      </c>
      <c r="D142" s="8">
        <v>123</v>
      </c>
      <c r="E142" s="16" t="str">
        <f>A142&amp;D142</f>
        <v>Tulips123</v>
      </c>
      <c r="F142" s="29" t="str">
        <f>VLOOKUP($D142,Lists!$J$1:$AB$29,2,FALSE)</f>
        <v>rr-Yy-SS</v>
      </c>
      <c r="G142" t="s">
        <v>96</v>
      </c>
      <c r="H142" s="29" t="str">
        <f>VLOOKUP($D142,Lists!$J$1:$AB$29,3,FALSE)</f>
        <v>Y</v>
      </c>
      <c r="I142" s="29">
        <f>VLOOKUP($D142,Lists!$J$1:$AB$29,4,FALSE)</f>
        <v>2</v>
      </c>
      <c r="J142" s="29" t="str">
        <f>VLOOKUP($D142,Lists!$J$1:$AB$29,5,FALSE)</f>
        <v>rYS</v>
      </c>
      <c r="K142" s="29">
        <f>VLOOKUP($D142,Lists!$J$1:$AB$29,6,FALSE)</f>
        <v>122</v>
      </c>
      <c r="L142" s="29" t="str">
        <f>VLOOKUP($D142,Lists!$J$1:$AB$29,7,FALSE)</f>
        <v>ryS</v>
      </c>
      <c r="M142" s="29">
        <f>VLOOKUP($D142,Lists!$J$1:$AB$29,8,FALSE)</f>
        <v>112</v>
      </c>
      <c r="N142" s="29" t="str">
        <f>VLOOKUP($D142,Lists!$J$1:$AB$29,9,FALSE)</f>
        <v>-</v>
      </c>
      <c r="O142" s="29" t="str">
        <f>VLOOKUP($D142,Lists!$J$1:$AB$29,10,FALSE)</f>
        <v>-</v>
      </c>
      <c r="P142" s="29" t="str">
        <f>VLOOKUP($D142,Lists!$J$1:$AB$29,11,FALSE)</f>
        <v>-</v>
      </c>
      <c r="Q142" s="29" t="str">
        <f>VLOOKUP($D142,Lists!$J$1:$AB$29,12,FALSE)</f>
        <v>-</v>
      </c>
      <c r="R142" s="29" t="str">
        <f>VLOOKUP($D142,Lists!$J$1:$AB$29,13,FALSE)</f>
        <v>-</v>
      </c>
      <c r="S142" s="29" t="str">
        <f>VLOOKUP($D142,Lists!$J$1:$AB$29,14,FALSE)</f>
        <v>-</v>
      </c>
      <c r="T142" s="29" t="str">
        <f>VLOOKUP($D142,Lists!$J$1:$AB$29,15,FALSE)</f>
        <v>-</v>
      </c>
      <c r="U142" s="29" t="str">
        <f>VLOOKUP($D142,Lists!$J$1:$AB$29,16,FALSE)</f>
        <v>-</v>
      </c>
      <c r="V142" s="29" t="str">
        <f>VLOOKUP($D142,Lists!$J$1:$AB$29,17,FALSE)</f>
        <v>-</v>
      </c>
      <c r="W142" s="29" t="str">
        <f>VLOOKUP($D142,Lists!$J$1:$AB$29,18,FALSE)</f>
        <v>-</v>
      </c>
      <c r="X142" s="29" t="str">
        <f>VLOOKUP($D142,Lists!$J$1:$AB$29,19,FALSE)</f>
        <v>-</v>
      </c>
      <c r="Y142" s="29" t="str">
        <f>VLOOKUP($D142,Lists!$J$1:$AC$29,20,FALSE)</f>
        <v>-</v>
      </c>
      <c r="Z142" s="32" t="str">
        <f t="shared" si="2"/>
        <v>4</v>
      </c>
    </row>
    <row r="143" spans="1:26" x14ac:dyDescent="0.25">
      <c r="A143" t="s">
        <v>83</v>
      </c>
      <c r="B143" t="s">
        <v>84</v>
      </c>
      <c r="C143" s="16" t="str">
        <f>A143&amp;B143</f>
        <v>TulipsYellow Seed</v>
      </c>
      <c r="D143" s="8">
        <v>131</v>
      </c>
      <c r="E143" s="16" t="str">
        <f>A143&amp;D143</f>
        <v>Tulips131</v>
      </c>
      <c r="F143" s="29" t="str">
        <f>VLOOKUP($D143,Lists!$J$1:$AB$29,2,FALSE)</f>
        <v>rr-YY-ss</v>
      </c>
      <c r="G143" t="s">
        <v>95</v>
      </c>
      <c r="H143" s="29" t="str">
        <f>VLOOKUP($D143,Lists!$J$1:$AB$29,3,FALSE)</f>
        <v>-</v>
      </c>
      <c r="I143" s="29">
        <f>VLOOKUP($D143,Lists!$J$1:$AB$29,4,FALSE)</f>
        <v>1</v>
      </c>
      <c r="J143" s="29" t="str">
        <f>VLOOKUP($D143,Lists!$J$1:$AB$29,5,FALSE)</f>
        <v>rYs</v>
      </c>
      <c r="K143" s="29">
        <f>VLOOKUP($D143,Lists!$J$1:$AB$29,6,FALSE)</f>
        <v>121</v>
      </c>
      <c r="L143" s="29" t="str">
        <f>VLOOKUP($D143,Lists!$J$1:$AB$29,7,FALSE)</f>
        <v>-</v>
      </c>
      <c r="M143" s="29" t="str">
        <f>VLOOKUP($D143,Lists!$J$1:$AB$29,8,FALSE)</f>
        <v>-</v>
      </c>
      <c r="N143" s="29" t="str">
        <f>VLOOKUP($D143,Lists!$J$1:$AB$29,9,FALSE)</f>
        <v>-</v>
      </c>
      <c r="O143" s="29" t="str">
        <f>VLOOKUP($D143,Lists!$J$1:$AB$29,10,FALSE)</f>
        <v>-</v>
      </c>
      <c r="P143" s="29" t="str">
        <f>VLOOKUP($D143,Lists!$J$1:$AB$29,11,FALSE)</f>
        <v>-</v>
      </c>
      <c r="Q143" s="29" t="str">
        <f>VLOOKUP($D143,Lists!$J$1:$AB$29,12,FALSE)</f>
        <v>-</v>
      </c>
      <c r="R143" s="29" t="str">
        <f>VLOOKUP($D143,Lists!$J$1:$AB$29,13,FALSE)</f>
        <v>-</v>
      </c>
      <c r="S143" s="29" t="str">
        <f>VLOOKUP($D143,Lists!$J$1:$AB$29,14,FALSE)</f>
        <v>-</v>
      </c>
      <c r="T143" s="29" t="str">
        <f>VLOOKUP($D143,Lists!$J$1:$AB$29,15,FALSE)</f>
        <v>-</v>
      </c>
      <c r="U143" s="29" t="str">
        <f>VLOOKUP($D143,Lists!$J$1:$AB$29,16,FALSE)</f>
        <v>-</v>
      </c>
      <c r="V143" s="29" t="str">
        <f>VLOOKUP($D143,Lists!$J$1:$AB$29,17,FALSE)</f>
        <v>-</v>
      </c>
      <c r="W143" s="29" t="str">
        <f>VLOOKUP($D143,Lists!$J$1:$AB$29,18,FALSE)</f>
        <v>-</v>
      </c>
      <c r="X143" s="29" t="str">
        <f>VLOOKUP($D143,Lists!$J$1:$AB$29,19,FALSE)</f>
        <v>-</v>
      </c>
      <c r="Y143" s="29" t="str">
        <f>VLOOKUP($D143,Lists!$J$1:$AC$29,20,FALSE)</f>
        <v>-</v>
      </c>
      <c r="Z143" s="32" t="s">
        <v>141</v>
      </c>
    </row>
    <row r="144" spans="1:26" x14ac:dyDescent="0.25">
      <c r="A144" t="s">
        <v>83</v>
      </c>
      <c r="B144" t="s">
        <v>54</v>
      </c>
      <c r="C144" s="16" t="str">
        <f>A144&amp;B144</f>
        <v>TulipsYellow 4</v>
      </c>
      <c r="D144" s="8">
        <v>132</v>
      </c>
      <c r="E144" s="16" t="str">
        <f>A144&amp;D144</f>
        <v>Tulips132</v>
      </c>
      <c r="F144" s="29" t="str">
        <f>VLOOKUP($D144,Lists!$J$1:$AB$29,2,FALSE)</f>
        <v>rr-YY-Ss</v>
      </c>
      <c r="G144" t="s">
        <v>95</v>
      </c>
      <c r="H144" s="29" t="str">
        <f>VLOOKUP($D144,Lists!$J$1:$AB$29,3,FALSE)</f>
        <v>S</v>
      </c>
      <c r="I144" s="29">
        <f>VLOOKUP($D144,Lists!$J$1:$AB$29,4,FALSE)</f>
        <v>2</v>
      </c>
      <c r="J144" s="29" t="str">
        <f>VLOOKUP($D144,Lists!$J$1:$AB$29,5,FALSE)</f>
        <v>rYs</v>
      </c>
      <c r="K144" s="29">
        <f>VLOOKUP($D144,Lists!$J$1:$AB$29,6,FALSE)</f>
        <v>121</v>
      </c>
      <c r="L144" s="29" t="str">
        <f>VLOOKUP($D144,Lists!$J$1:$AB$29,7,FALSE)</f>
        <v>rYS</v>
      </c>
      <c r="M144" s="29">
        <f>VLOOKUP($D144,Lists!$J$1:$AB$29,8,FALSE)</f>
        <v>122</v>
      </c>
      <c r="N144" s="29" t="str">
        <f>VLOOKUP($D144,Lists!$J$1:$AB$29,9,FALSE)</f>
        <v>-</v>
      </c>
      <c r="O144" s="29" t="str">
        <f>VLOOKUP($D144,Lists!$J$1:$AB$29,10,FALSE)</f>
        <v>-</v>
      </c>
      <c r="P144" s="29" t="str">
        <f>VLOOKUP($D144,Lists!$J$1:$AB$29,11,FALSE)</f>
        <v>-</v>
      </c>
      <c r="Q144" s="29" t="str">
        <f>VLOOKUP($D144,Lists!$J$1:$AB$29,12,FALSE)</f>
        <v>-</v>
      </c>
      <c r="R144" s="29" t="str">
        <f>VLOOKUP($D144,Lists!$J$1:$AB$29,13,FALSE)</f>
        <v>-</v>
      </c>
      <c r="S144" s="29" t="str">
        <f>VLOOKUP($D144,Lists!$J$1:$AB$29,14,FALSE)</f>
        <v>-</v>
      </c>
      <c r="T144" s="29" t="str">
        <f>VLOOKUP($D144,Lists!$J$1:$AB$29,15,FALSE)</f>
        <v>-</v>
      </c>
      <c r="U144" s="29" t="str">
        <f>VLOOKUP($D144,Lists!$J$1:$AB$29,16,FALSE)</f>
        <v>-</v>
      </c>
      <c r="V144" s="29" t="str">
        <f>VLOOKUP($D144,Lists!$J$1:$AB$29,17,FALSE)</f>
        <v>-</v>
      </c>
      <c r="W144" s="29" t="str">
        <f>VLOOKUP($D144,Lists!$J$1:$AB$29,18,FALSE)</f>
        <v>-</v>
      </c>
      <c r="X144" s="29" t="str">
        <f>VLOOKUP($D144,Lists!$J$1:$AB$29,19,FALSE)</f>
        <v>-</v>
      </c>
      <c r="Y144" s="29" t="str">
        <f>VLOOKUP($D144,Lists!$J$1:$AC$29,20,FALSE)</f>
        <v>-</v>
      </c>
      <c r="Z144" s="32" t="str">
        <f t="shared" si="2"/>
        <v>4</v>
      </c>
    </row>
    <row r="145" spans="1:26" x14ac:dyDescent="0.25">
      <c r="A145" t="s">
        <v>83</v>
      </c>
      <c r="B145" t="s">
        <v>53</v>
      </c>
      <c r="C145" s="16" t="str">
        <f>A145&amp;B145</f>
        <v>TulipsYellow 5</v>
      </c>
      <c r="D145" s="8">
        <v>133</v>
      </c>
      <c r="E145" s="16" t="str">
        <f>A145&amp;D145</f>
        <v>Tulips133</v>
      </c>
      <c r="F145" s="29" t="str">
        <f>VLOOKUP($D145,Lists!$J$1:$AB$29,2,FALSE)</f>
        <v>rr-YY-SS</v>
      </c>
      <c r="G145" t="s">
        <v>95</v>
      </c>
      <c r="H145" s="29" t="str">
        <f>VLOOKUP($D145,Lists!$J$1:$AB$29,3,FALSE)</f>
        <v>-</v>
      </c>
      <c r="I145" s="29">
        <f>VLOOKUP($D145,Lists!$J$1:$AB$29,4,FALSE)</f>
        <v>1</v>
      </c>
      <c r="J145" s="29" t="str">
        <f>VLOOKUP($D145,Lists!$J$1:$AB$29,5,FALSE)</f>
        <v>rYS</v>
      </c>
      <c r="K145" s="29">
        <f>VLOOKUP($D145,Lists!$J$1:$AB$29,6,FALSE)</f>
        <v>122</v>
      </c>
      <c r="L145" s="29" t="str">
        <f>VLOOKUP($D145,Lists!$J$1:$AB$29,7,FALSE)</f>
        <v>-</v>
      </c>
      <c r="M145" s="29" t="str">
        <f>VLOOKUP($D145,Lists!$J$1:$AB$29,8,FALSE)</f>
        <v>-</v>
      </c>
      <c r="N145" s="29" t="str">
        <f>VLOOKUP($D145,Lists!$J$1:$AB$29,9,FALSE)</f>
        <v>-</v>
      </c>
      <c r="O145" s="29" t="str">
        <f>VLOOKUP($D145,Lists!$J$1:$AB$29,10,FALSE)</f>
        <v>-</v>
      </c>
      <c r="P145" s="29" t="str">
        <f>VLOOKUP($D145,Lists!$J$1:$AB$29,11,FALSE)</f>
        <v>-</v>
      </c>
      <c r="Q145" s="29" t="str">
        <f>VLOOKUP($D145,Lists!$J$1:$AB$29,12,FALSE)</f>
        <v>-</v>
      </c>
      <c r="R145" s="29" t="str">
        <f>VLOOKUP($D145,Lists!$J$1:$AB$29,13,FALSE)</f>
        <v>-</v>
      </c>
      <c r="S145" s="29" t="str">
        <f>VLOOKUP($D145,Lists!$J$1:$AB$29,14,FALSE)</f>
        <v>-</v>
      </c>
      <c r="T145" s="29" t="str">
        <f>VLOOKUP($D145,Lists!$J$1:$AB$29,15,FALSE)</f>
        <v>-</v>
      </c>
      <c r="U145" s="29" t="str">
        <f>VLOOKUP($D145,Lists!$J$1:$AB$29,16,FALSE)</f>
        <v>-</v>
      </c>
      <c r="V145" s="29" t="str">
        <f>VLOOKUP($D145,Lists!$J$1:$AB$29,17,FALSE)</f>
        <v>-</v>
      </c>
      <c r="W145" s="29" t="str">
        <f>VLOOKUP($D145,Lists!$J$1:$AB$29,18,FALSE)</f>
        <v>-</v>
      </c>
      <c r="X145" s="29" t="str">
        <f>VLOOKUP($D145,Lists!$J$1:$AB$29,19,FALSE)</f>
        <v>-</v>
      </c>
      <c r="Y145" s="29" t="str">
        <f>VLOOKUP($D145,Lists!$J$1:$AC$29,20,FALSE)</f>
        <v>-</v>
      </c>
      <c r="Z145" s="32" t="str">
        <f t="shared" si="2"/>
        <v>5</v>
      </c>
    </row>
    <row r="146" spans="1:26" x14ac:dyDescent="0.25">
      <c r="A146" t="s">
        <v>83</v>
      </c>
      <c r="B146" t="s">
        <v>87</v>
      </c>
      <c r="C146" s="16" t="str">
        <f>A146&amp;B146</f>
        <v>TulipsRed 2</v>
      </c>
      <c r="D146" s="8">
        <v>211</v>
      </c>
      <c r="E146" s="16" t="str">
        <f>A146&amp;D146</f>
        <v>Tulips211</v>
      </c>
      <c r="F146" s="29" t="str">
        <f>VLOOKUP($D146,Lists!$J$1:$AB$29,2,FALSE)</f>
        <v>Rr-yy-ss</v>
      </c>
      <c r="G146" t="s">
        <v>94</v>
      </c>
      <c r="H146" s="29" t="str">
        <f>VLOOKUP($D146,Lists!$J$1:$AB$29,3,FALSE)</f>
        <v>R</v>
      </c>
      <c r="I146" s="29">
        <f>VLOOKUP($D146,Lists!$J$1:$AB$29,4,FALSE)</f>
        <v>2</v>
      </c>
      <c r="J146" s="29" t="str">
        <f>VLOOKUP($D146,Lists!$J$1:$AB$29,5,FALSE)</f>
        <v>Rys</v>
      </c>
      <c r="K146" s="29">
        <f>VLOOKUP($D146,Lists!$J$1:$AB$29,6,FALSE)</f>
        <v>211</v>
      </c>
      <c r="L146" s="29" t="str">
        <f>VLOOKUP($D146,Lists!$J$1:$AB$29,7,FALSE)</f>
        <v xml:space="preserve">rys </v>
      </c>
      <c r="M146" s="29">
        <f>VLOOKUP($D146,Lists!$J$1:$AB$29,8,FALSE)</f>
        <v>111</v>
      </c>
      <c r="N146" s="29" t="str">
        <f>VLOOKUP($D146,Lists!$J$1:$AB$29,9,FALSE)</f>
        <v>-</v>
      </c>
      <c r="O146" s="29" t="str">
        <f>VLOOKUP($D146,Lists!$J$1:$AB$29,10,FALSE)</f>
        <v>-</v>
      </c>
      <c r="P146" s="29" t="str">
        <f>VLOOKUP($D146,Lists!$J$1:$AB$29,11,FALSE)</f>
        <v>-</v>
      </c>
      <c r="Q146" s="29" t="str">
        <f>VLOOKUP($D146,Lists!$J$1:$AB$29,12,FALSE)</f>
        <v>-</v>
      </c>
      <c r="R146" s="29" t="str">
        <f>VLOOKUP($D146,Lists!$J$1:$AB$29,13,FALSE)</f>
        <v>-</v>
      </c>
      <c r="S146" s="29" t="str">
        <f>VLOOKUP($D146,Lists!$J$1:$AB$29,14,FALSE)</f>
        <v>-</v>
      </c>
      <c r="T146" s="29" t="str">
        <f>VLOOKUP($D146,Lists!$J$1:$AB$29,15,FALSE)</f>
        <v>-</v>
      </c>
      <c r="U146" s="29" t="str">
        <f>VLOOKUP($D146,Lists!$J$1:$AB$29,16,FALSE)</f>
        <v>-</v>
      </c>
      <c r="V146" s="29" t="str">
        <f>VLOOKUP($D146,Lists!$J$1:$AB$29,17,FALSE)</f>
        <v>-</v>
      </c>
      <c r="W146" s="29" t="str">
        <f>VLOOKUP($D146,Lists!$J$1:$AB$29,18,FALSE)</f>
        <v>-</v>
      </c>
      <c r="X146" s="29" t="str">
        <f>VLOOKUP($D146,Lists!$J$1:$AB$29,19,FALSE)</f>
        <v>-</v>
      </c>
      <c r="Y146" s="29" t="str">
        <f>VLOOKUP($D146,Lists!$J$1:$AC$29,20,FALSE)</f>
        <v>-</v>
      </c>
      <c r="Z146" s="32" t="str">
        <f t="shared" si="2"/>
        <v>2</v>
      </c>
    </row>
    <row r="147" spans="1:26" x14ac:dyDescent="0.25">
      <c r="A147" t="s">
        <v>83</v>
      </c>
      <c r="B147" t="s">
        <v>16</v>
      </c>
      <c r="C147" s="16" t="str">
        <f>A147&amp;B147</f>
        <v>TulipsPink 1</v>
      </c>
      <c r="D147" s="8">
        <v>212</v>
      </c>
      <c r="E147" s="16" t="str">
        <f>A147&amp;D147</f>
        <v>Tulips212</v>
      </c>
      <c r="F147" s="29" t="str">
        <f>VLOOKUP($D147,Lists!$J$1:$AB$29,2,FALSE)</f>
        <v>Rr-yy-Ss</v>
      </c>
      <c r="G147" t="s">
        <v>98</v>
      </c>
      <c r="H147" s="29" t="str">
        <f>VLOOKUP($D147,Lists!$J$1:$AB$29,3,FALSE)</f>
        <v>RS</v>
      </c>
      <c r="I147" s="29">
        <f>VLOOKUP($D147,Lists!$J$1:$AB$29,4,FALSE)</f>
        <v>4</v>
      </c>
      <c r="J147" s="29" t="str">
        <f>VLOOKUP($D147,Lists!$J$1:$AB$29,5,FALSE)</f>
        <v>RyS</v>
      </c>
      <c r="K147" s="29">
        <f>VLOOKUP($D147,Lists!$J$1:$AB$29,6,FALSE)</f>
        <v>212</v>
      </c>
      <c r="L147" s="29" t="str">
        <f>VLOOKUP($D147,Lists!$J$1:$AB$29,7,FALSE)</f>
        <v>Rys</v>
      </c>
      <c r="M147" s="29">
        <f>VLOOKUP($D147,Lists!$J$1:$AB$29,8,FALSE)</f>
        <v>211</v>
      </c>
      <c r="N147" s="29" t="str">
        <f>VLOOKUP($D147,Lists!$J$1:$AB$29,9,FALSE)</f>
        <v>ryS</v>
      </c>
      <c r="O147" s="29">
        <f>VLOOKUP($D147,Lists!$J$1:$AB$29,10,FALSE)</f>
        <v>112</v>
      </c>
      <c r="P147" s="29" t="str">
        <f>VLOOKUP($D147,Lists!$J$1:$AB$29,11,FALSE)</f>
        <v>rys</v>
      </c>
      <c r="Q147" s="29">
        <f>VLOOKUP($D147,Lists!$J$1:$AB$29,12,FALSE)</f>
        <v>111</v>
      </c>
      <c r="R147" s="29" t="str">
        <f>VLOOKUP($D147,Lists!$J$1:$AB$29,13,FALSE)</f>
        <v>-</v>
      </c>
      <c r="S147" s="29" t="str">
        <f>VLOOKUP($D147,Lists!$J$1:$AB$29,14,FALSE)</f>
        <v>-</v>
      </c>
      <c r="T147" s="29" t="str">
        <f>VLOOKUP($D147,Lists!$J$1:$AB$29,15,FALSE)</f>
        <v>-</v>
      </c>
      <c r="U147" s="29" t="str">
        <f>VLOOKUP($D147,Lists!$J$1:$AB$29,16,FALSE)</f>
        <v>-</v>
      </c>
      <c r="V147" s="29" t="str">
        <f>VLOOKUP($D147,Lists!$J$1:$AB$29,17,FALSE)</f>
        <v>-</v>
      </c>
      <c r="W147" s="29" t="str">
        <f>VLOOKUP($D147,Lists!$J$1:$AB$29,18,FALSE)</f>
        <v>-</v>
      </c>
      <c r="X147" s="29" t="str">
        <f>VLOOKUP($D147,Lists!$J$1:$AB$29,19,FALSE)</f>
        <v>-</v>
      </c>
      <c r="Y147" s="29" t="str">
        <f>VLOOKUP($D147,Lists!$J$1:$AC$29,20,FALSE)</f>
        <v>-</v>
      </c>
      <c r="Z147" s="32" t="str">
        <f t="shared" si="2"/>
        <v>1</v>
      </c>
    </row>
    <row r="148" spans="1:26" x14ac:dyDescent="0.25">
      <c r="A148" t="s">
        <v>83</v>
      </c>
      <c r="B148" t="s">
        <v>88</v>
      </c>
      <c r="C148" s="16" t="str">
        <f>A148&amp;B148</f>
        <v>TulipsWhite 5</v>
      </c>
      <c r="D148" s="8">
        <v>213</v>
      </c>
      <c r="E148" s="16" t="str">
        <f>A148&amp;D148</f>
        <v>Tulips213</v>
      </c>
      <c r="F148" s="29" t="str">
        <f>VLOOKUP($D148,Lists!$J$1:$AB$29,2,FALSE)</f>
        <v>Rr-yy-SS</v>
      </c>
      <c r="G148" t="s">
        <v>96</v>
      </c>
      <c r="H148" s="29" t="str">
        <f>VLOOKUP($D148,Lists!$J$1:$AB$29,3,FALSE)</f>
        <v>R</v>
      </c>
      <c r="I148" s="29">
        <f>VLOOKUP($D148,Lists!$J$1:$AB$29,4,FALSE)</f>
        <v>2</v>
      </c>
      <c r="J148" s="29" t="str">
        <f>VLOOKUP($D148,Lists!$J$1:$AB$29,5,FALSE)</f>
        <v>RyS</v>
      </c>
      <c r="K148" s="29">
        <f>VLOOKUP($D148,Lists!$J$1:$AB$29,6,FALSE)</f>
        <v>212</v>
      </c>
      <c r="L148" s="29" t="str">
        <f>VLOOKUP($D148,Lists!$J$1:$AB$29,7,FALSE)</f>
        <v>ryS</v>
      </c>
      <c r="M148" s="29">
        <f>VLOOKUP($D148,Lists!$J$1:$AB$29,8,FALSE)</f>
        <v>112</v>
      </c>
      <c r="N148" s="29" t="str">
        <f>VLOOKUP($D148,Lists!$J$1:$AB$29,9,FALSE)</f>
        <v>-</v>
      </c>
      <c r="O148" s="29" t="str">
        <f>VLOOKUP($D148,Lists!$J$1:$AB$29,10,FALSE)</f>
        <v>-</v>
      </c>
      <c r="P148" s="29" t="str">
        <f>VLOOKUP($D148,Lists!$J$1:$AB$29,11,FALSE)</f>
        <v>-</v>
      </c>
      <c r="Q148" s="29" t="str">
        <f>VLOOKUP($D148,Lists!$J$1:$AB$29,12,FALSE)</f>
        <v>-</v>
      </c>
      <c r="R148" s="29" t="str">
        <f>VLOOKUP($D148,Lists!$J$1:$AB$29,13,FALSE)</f>
        <v>-</v>
      </c>
      <c r="S148" s="29" t="str">
        <f>VLOOKUP($D148,Lists!$J$1:$AB$29,14,FALSE)</f>
        <v>-</v>
      </c>
      <c r="T148" s="29" t="str">
        <f>VLOOKUP($D148,Lists!$J$1:$AB$29,15,FALSE)</f>
        <v>-</v>
      </c>
      <c r="U148" s="29" t="str">
        <f>VLOOKUP($D148,Lists!$J$1:$AB$29,16,FALSE)</f>
        <v>-</v>
      </c>
      <c r="V148" s="29" t="str">
        <f>VLOOKUP($D148,Lists!$J$1:$AB$29,17,FALSE)</f>
        <v>-</v>
      </c>
      <c r="W148" s="29" t="str">
        <f>VLOOKUP($D148,Lists!$J$1:$AB$29,18,FALSE)</f>
        <v>-</v>
      </c>
      <c r="X148" s="29" t="str">
        <f>VLOOKUP($D148,Lists!$J$1:$AB$29,19,FALSE)</f>
        <v>-</v>
      </c>
      <c r="Y148" s="29" t="str">
        <f>VLOOKUP($D148,Lists!$J$1:$AC$29,20,FALSE)</f>
        <v>-</v>
      </c>
      <c r="Z148" s="32" t="str">
        <f t="shared" si="2"/>
        <v>5</v>
      </c>
    </row>
    <row r="149" spans="1:26" x14ac:dyDescent="0.25">
      <c r="A149" t="s">
        <v>83</v>
      </c>
      <c r="B149" t="s">
        <v>18</v>
      </c>
      <c r="C149" s="16" t="str">
        <f>A149&amp;B149</f>
        <v>TulipsOrange 1</v>
      </c>
      <c r="D149" s="8">
        <v>221</v>
      </c>
      <c r="E149" s="16" t="str">
        <f>A149&amp;D149</f>
        <v>Tulips221</v>
      </c>
      <c r="F149" s="29" t="str">
        <f>VLOOKUP($D149,Lists!$J$1:$AB$29,2,FALSE)</f>
        <v>Rr-Yy-ss</v>
      </c>
      <c r="G149" t="s">
        <v>97</v>
      </c>
      <c r="H149" s="29" t="str">
        <f>VLOOKUP($D149,Lists!$J$1:$AB$29,3,FALSE)</f>
        <v>RY</v>
      </c>
      <c r="I149" s="29">
        <f>VLOOKUP($D149,Lists!$J$1:$AB$29,4,FALSE)</f>
        <v>4</v>
      </c>
      <c r="J149" s="29" t="str">
        <f>VLOOKUP($D149,Lists!$J$1:$AB$29,5,FALSE)</f>
        <v>RYs</v>
      </c>
      <c r="K149" s="29">
        <f>VLOOKUP($D149,Lists!$J$1:$AB$29,6,FALSE)</f>
        <v>221</v>
      </c>
      <c r="L149" s="29" t="str">
        <f>VLOOKUP($D149,Lists!$J$1:$AB$29,7,FALSE)</f>
        <v>Rys</v>
      </c>
      <c r="M149" s="29">
        <f>VLOOKUP($D149,Lists!$J$1:$AB$29,8,FALSE)</f>
        <v>211</v>
      </c>
      <c r="N149" s="29" t="str">
        <f>VLOOKUP($D149,Lists!$J$1:$AB$29,9,FALSE)</f>
        <v>rYs</v>
      </c>
      <c r="O149" s="29">
        <f>VLOOKUP($D149,Lists!$J$1:$AB$29,10,FALSE)</f>
        <v>121</v>
      </c>
      <c r="P149" s="29" t="str">
        <f>VLOOKUP($D149,Lists!$J$1:$AB$29,11,FALSE)</f>
        <v>rys</v>
      </c>
      <c r="Q149" s="29">
        <f>VLOOKUP($D149,Lists!$J$1:$AB$29,12,FALSE)</f>
        <v>111</v>
      </c>
      <c r="R149" s="29" t="str">
        <f>VLOOKUP($D149,Lists!$J$1:$AB$29,13,FALSE)</f>
        <v>-</v>
      </c>
      <c r="S149" s="29" t="str">
        <f>VLOOKUP($D149,Lists!$J$1:$AB$29,14,FALSE)</f>
        <v>-</v>
      </c>
      <c r="T149" s="29" t="str">
        <f>VLOOKUP($D149,Lists!$J$1:$AB$29,15,FALSE)</f>
        <v>-</v>
      </c>
      <c r="U149" s="29" t="str">
        <f>VLOOKUP($D149,Lists!$J$1:$AB$29,16,FALSE)</f>
        <v>-</v>
      </c>
      <c r="V149" s="29" t="str">
        <f>VLOOKUP($D149,Lists!$J$1:$AB$29,17,FALSE)</f>
        <v>-</v>
      </c>
      <c r="W149" s="29" t="str">
        <f>VLOOKUP($D149,Lists!$J$1:$AB$29,18,FALSE)</f>
        <v>-</v>
      </c>
      <c r="X149" s="29" t="str">
        <f>VLOOKUP($D149,Lists!$J$1:$AB$29,19,FALSE)</f>
        <v>-</v>
      </c>
      <c r="Y149" s="29" t="str">
        <f>VLOOKUP($D149,Lists!$J$1:$AC$29,20,FALSE)</f>
        <v>-</v>
      </c>
      <c r="Z149" s="32" t="str">
        <f t="shared" si="2"/>
        <v>1</v>
      </c>
    </row>
    <row r="150" spans="1:26" x14ac:dyDescent="0.25">
      <c r="A150" t="s">
        <v>83</v>
      </c>
      <c r="B150" t="s">
        <v>92</v>
      </c>
      <c r="C150" s="16" t="str">
        <f>A150&amp;B150</f>
        <v>TulipsYellow 6</v>
      </c>
      <c r="D150" s="8">
        <v>222</v>
      </c>
      <c r="E150" s="16" t="str">
        <f>A150&amp;D150</f>
        <v>Tulips222</v>
      </c>
      <c r="F150" s="29" t="str">
        <f>VLOOKUP($D150,Lists!$J$1:$AB$29,2,FALSE)</f>
        <v>Rr-Yy-Ss</v>
      </c>
      <c r="G150" t="s">
        <v>95</v>
      </c>
      <c r="H150" s="29" t="str">
        <f>VLOOKUP($D150,Lists!$J$1:$AB$29,3,FALSE)</f>
        <v>RYS</v>
      </c>
      <c r="I150" s="29">
        <f>VLOOKUP($D150,Lists!$J$1:$AB$29,4,FALSE)</f>
        <v>8</v>
      </c>
      <c r="J150" s="29" t="str">
        <f>VLOOKUP($D150,Lists!$J$1:$AB$29,5,FALSE)</f>
        <v>RYS</v>
      </c>
      <c r="K150" s="29">
        <f>VLOOKUP($D150,Lists!$J$1:$AB$29,6,FALSE)</f>
        <v>222</v>
      </c>
      <c r="L150" s="29" t="str">
        <f>VLOOKUP($D150,Lists!$J$1:$AB$29,7,FALSE)</f>
        <v>RyS</v>
      </c>
      <c r="M150" s="29">
        <f>VLOOKUP($D150,Lists!$J$1:$AB$29,8,FALSE)</f>
        <v>212</v>
      </c>
      <c r="N150" s="29" t="str">
        <f>VLOOKUP($D150,Lists!$J$1:$AB$29,9,FALSE)</f>
        <v>RYs</v>
      </c>
      <c r="O150" s="29">
        <f>VLOOKUP($D150,Lists!$J$1:$AB$29,10,FALSE)</f>
        <v>221</v>
      </c>
      <c r="P150" s="29" t="str">
        <f>VLOOKUP($D150,Lists!$J$1:$AB$29,11,FALSE)</f>
        <v>Rys</v>
      </c>
      <c r="Q150" s="29">
        <f>VLOOKUP($D150,Lists!$J$1:$AB$29,12,FALSE)</f>
        <v>211</v>
      </c>
      <c r="R150" s="29" t="str">
        <f>VLOOKUP($D150,Lists!$J$1:$AB$29,13,FALSE)</f>
        <v>rYS</v>
      </c>
      <c r="S150" s="29">
        <f>VLOOKUP($D150,Lists!$J$1:$AB$29,14,FALSE)</f>
        <v>122</v>
      </c>
      <c r="T150" s="29" t="str">
        <f>VLOOKUP($D150,Lists!$J$1:$AB$29,15,FALSE)</f>
        <v>ryS</v>
      </c>
      <c r="U150" s="29">
        <f>VLOOKUP($D150,Lists!$J$1:$AB$29,16,FALSE)</f>
        <v>112</v>
      </c>
      <c r="V150" s="29" t="str">
        <f>VLOOKUP($D150,Lists!$J$1:$AB$29,17,FALSE)</f>
        <v>rYs</v>
      </c>
      <c r="W150" s="29">
        <f>VLOOKUP($D150,Lists!$J$1:$AB$29,18,FALSE)</f>
        <v>121</v>
      </c>
      <c r="X150" s="29" t="str">
        <f>VLOOKUP($D150,Lists!$J$1:$AB$29,19,FALSE)</f>
        <v>rys</v>
      </c>
      <c r="Y150" s="29">
        <f>VLOOKUP($D150,Lists!$J$1:$AC$29,20,FALSE)</f>
        <v>111</v>
      </c>
      <c r="Z150" s="32" t="str">
        <f t="shared" si="2"/>
        <v>6</v>
      </c>
    </row>
    <row r="151" spans="1:26" x14ac:dyDescent="0.25">
      <c r="A151" t="s">
        <v>83</v>
      </c>
      <c r="B151" t="s">
        <v>93</v>
      </c>
      <c r="C151" s="16" t="str">
        <f>A151&amp;B151</f>
        <v>TulipsYellow 7</v>
      </c>
      <c r="D151" s="8">
        <v>223</v>
      </c>
      <c r="E151" s="16" t="str">
        <f>A151&amp;D151</f>
        <v>Tulips223</v>
      </c>
      <c r="F151" s="29" t="str">
        <f>VLOOKUP($D151,Lists!$J$1:$AB$29,2,FALSE)</f>
        <v>Rr-Yy-SS</v>
      </c>
      <c r="G151" t="s">
        <v>95</v>
      </c>
      <c r="H151" s="29" t="str">
        <f>VLOOKUP($D151,Lists!$J$1:$AB$29,3,FALSE)</f>
        <v>RY</v>
      </c>
      <c r="I151" s="29">
        <f>VLOOKUP($D151,Lists!$J$1:$AB$29,4,FALSE)</f>
        <v>4</v>
      </c>
      <c r="J151" s="29" t="str">
        <f>VLOOKUP($D151,Lists!$J$1:$AB$29,5,FALSE)</f>
        <v>RYS</v>
      </c>
      <c r="K151" s="29">
        <f>VLOOKUP($D151,Lists!$J$1:$AB$29,6,FALSE)</f>
        <v>222</v>
      </c>
      <c r="L151" s="29" t="str">
        <f>VLOOKUP($D151,Lists!$J$1:$AB$29,7,FALSE)</f>
        <v>RyS</v>
      </c>
      <c r="M151" s="29">
        <f>VLOOKUP($D151,Lists!$J$1:$AB$29,8,FALSE)</f>
        <v>212</v>
      </c>
      <c r="N151" s="29" t="str">
        <f>VLOOKUP($D151,Lists!$J$1:$AB$29,9,FALSE)</f>
        <v>rYS</v>
      </c>
      <c r="O151" s="29">
        <f>VLOOKUP($D151,Lists!$J$1:$AB$29,10,FALSE)</f>
        <v>122</v>
      </c>
      <c r="P151" s="29" t="str">
        <f>VLOOKUP($D151,Lists!$J$1:$AB$29,11,FALSE)</f>
        <v>ryS</v>
      </c>
      <c r="Q151" s="29">
        <f>VLOOKUP($D151,Lists!$J$1:$AB$29,12,FALSE)</f>
        <v>112</v>
      </c>
      <c r="R151" s="29" t="str">
        <f>VLOOKUP($D151,Lists!$J$1:$AB$29,13,FALSE)</f>
        <v>-</v>
      </c>
      <c r="S151" s="29" t="str">
        <f>VLOOKUP($D151,Lists!$J$1:$AB$29,14,FALSE)</f>
        <v>-</v>
      </c>
      <c r="T151" s="29" t="str">
        <f>VLOOKUP($D151,Lists!$J$1:$AB$29,15,FALSE)</f>
        <v>-</v>
      </c>
      <c r="U151" s="29" t="str">
        <f>VLOOKUP($D151,Lists!$J$1:$AB$29,16,FALSE)</f>
        <v>-</v>
      </c>
      <c r="V151" s="29" t="str">
        <f>VLOOKUP($D151,Lists!$J$1:$AB$29,17,FALSE)</f>
        <v>-</v>
      </c>
      <c r="W151" s="29" t="str">
        <f>VLOOKUP($D151,Lists!$J$1:$AB$29,18,FALSE)</f>
        <v>-</v>
      </c>
      <c r="X151" s="29" t="str">
        <f>VLOOKUP($D151,Lists!$J$1:$AB$29,19,FALSE)</f>
        <v>-</v>
      </c>
      <c r="Y151" s="29" t="str">
        <f>VLOOKUP($D151,Lists!$J$1:$AC$29,20,FALSE)</f>
        <v>-</v>
      </c>
      <c r="Z151" s="32" t="str">
        <f t="shared" si="2"/>
        <v>7</v>
      </c>
    </row>
    <row r="152" spans="1:26" x14ac:dyDescent="0.25">
      <c r="A152" t="s">
        <v>83</v>
      </c>
      <c r="B152" t="s">
        <v>19</v>
      </c>
      <c r="C152" s="16" t="str">
        <f>A152&amp;B152</f>
        <v>TulipsOrange 2</v>
      </c>
      <c r="D152" s="8">
        <v>231</v>
      </c>
      <c r="E152" s="16" t="str">
        <f>A152&amp;D152</f>
        <v>Tulips231</v>
      </c>
      <c r="F152" s="29" t="str">
        <f>VLOOKUP($D152,Lists!$J$1:$AB$29,2,FALSE)</f>
        <v>Rr-YY-ss</v>
      </c>
      <c r="G152" t="s">
        <v>97</v>
      </c>
      <c r="H152" s="29" t="str">
        <f>VLOOKUP($D152,Lists!$J$1:$AB$29,3,FALSE)</f>
        <v>R</v>
      </c>
      <c r="I152" s="29">
        <f>VLOOKUP($D152,Lists!$J$1:$AB$29,4,FALSE)</f>
        <v>2</v>
      </c>
      <c r="J152" s="29" t="str">
        <f>VLOOKUP($D152,Lists!$J$1:$AB$29,5,FALSE)</f>
        <v>Rys</v>
      </c>
      <c r="K152" s="29">
        <f>VLOOKUP($D152,Lists!$J$1:$AB$29,6,FALSE)</f>
        <v>211</v>
      </c>
      <c r="L152" s="29" t="str">
        <f>VLOOKUP($D152,Lists!$J$1:$AB$29,7,FALSE)</f>
        <v>rYs</v>
      </c>
      <c r="M152" s="29">
        <f>VLOOKUP($D152,Lists!$J$1:$AB$29,8,FALSE)</f>
        <v>121</v>
      </c>
      <c r="N152" s="29" t="str">
        <f>VLOOKUP($D152,Lists!$J$1:$AB$29,9,FALSE)</f>
        <v>-</v>
      </c>
      <c r="O152" s="29" t="str">
        <f>VLOOKUP($D152,Lists!$J$1:$AB$29,10,FALSE)</f>
        <v>-</v>
      </c>
      <c r="P152" s="29" t="str">
        <f>VLOOKUP($D152,Lists!$J$1:$AB$29,11,FALSE)</f>
        <v>-</v>
      </c>
      <c r="Q152" s="29" t="str">
        <f>VLOOKUP($D152,Lists!$J$1:$AB$29,12,FALSE)</f>
        <v>-</v>
      </c>
      <c r="R152" s="29" t="str">
        <f>VLOOKUP($D152,Lists!$J$1:$AB$29,13,FALSE)</f>
        <v>-</v>
      </c>
      <c r="S152" s="29" t="str">
        <f>VLOOKUP($D152,Lists!$J$1:$AB$29,14,FALSE)</f>
        <v>-</v>
      </c>
      <c r="T152" s="29" t="str">
        <f>VLOOKUP($D152,Lists!$J$1:$AB$29,15,FALSE)</f>
        <v>-</v>
      </c>
      <c r="U152" s="29" t="str">
        <f>VLOOKUP($D152,Lists!$J$1:$AB$29,16,FALSE)</f>
        <v>-</v>
      </c>
      <c r="V152" s="29" t="str">
        <f>VLOOKUP($D152,Lists!$J$1:$AB$29,17,FALSE)</f>
        <v>-</v>
      </c>
      <c r="W152" s="29" t="str">
        <f>VLOOKUP($D152,Lists!$J$1:$AB$29,18,FALSE)</f>
        <v>-</v>
      </c>
      <c r="X152" s="29" t="str">
        <f>VLOOKUP($D152,Lists!$J$1:$AB$29,19,FALSE)</f>
        <v>-</v>
      </c>
      <c r="Y152" s="29" t="str">
        <f>VLOOKUP($D152,Lists!$J$1:$AC$29,20,FALSE)</f>
        <v>-</v>
      </c>
      <c r="Z152" s="32" t="str">
        <f t="shared" si="2"/>
        <v>2</v>
      </c>
    </row>
    <row r="153" spans="1:26" x14ac:dyDescent="0.25">
      <c r="A153" t="s">
        <v>83</v>
      </c>
      <c r="B153" t="s">
        <v>110</v>
      </c>
      <c r="C153" s="16" t="str">
        <f>A153&amp;B153</f>
        <v>TulipsYellow 8</v>
      </c>
      <c r="D153" s="8">
        <v>232</v>
      </c>
      <c r="E153" s="16" t="str">
        <f>A153&amp;D153</f>
        <v>Tulips232</v>
      </c>
      <c r="F153" s="29" t="str">
        <f>VLOOKUP($D153,Lists!$J$1:$AB$29,2,FALSE)</f>
        <v>Rr-YY-Ss</v>
      </c>
      <c r="G153" t="s">
        <v>95</v>
      </c>
      <c r="H153" s="29" t="str">
        <f>VLOOKUP($D153,Lists!$J$1:$AB$29,3,FALSE)</f>
        <v>RS</v>
      </c>
      <c r="I153" s="29">
        <f>VLOOKUP($D153,Lists!$J$1:$AB$29,4,FALSE)</f>
        <v>4</v>
      </c>
      <c r="J153" s="29" t="str">
        <f>VLOOKUP($D153,Lists!$J$1:$AB$29,5,FALSE)</f>
        <v>RYS</v>
      </c>
      <c r="K153" s="29">
        <f>VLOOKUP($D153,Lists!$J$1:$AB$29,6,FALSE)</f>
        <v>222</v>
      </c>
      <c r="L153" s="29" t="str">
        <f>VLOOKUP($D153,Lists!$J$1:$AB$29,7,FALSE)</f>
        <v>Rys</v>
      </c>
      <c r="M153" s="29">
        <f>VLOOKUP($D153,Lists!$J$1:$AB$29,8,FALSE)</f>
        <v>211</v>
      </c>
      <c r="N153" s="29" t="str">
        <f>VLOOKUP($D153,Lists!$J$1:$AB$29,9,FALSE)</f>
        <v>rYS</v>
      </c>
      <c r="O153" s="29">
        <f>VLOOKUP($D153,Lists!$J$1:$AB$29,10,FALSE)</f>
        <v>122</v>
      </c>
      <c r="P153" s="29" t="str">
        <f>VLOOKUP($D153,Lists!$J$1:$AB$29,11,FALSE)</f>
        <v>rYs</v>
      </c>
      <c r="Q153" s="29">
        <f>VLOOKUP($D153,Lists!$J$1:$AB$29,12,FALSE)</f>
        <v>121</v>
      </c>
      <c r="R153" s="29" t="str">
        <f>VLOOKUP($D153,Lists!$J$1:$AB$29,13,FALSE)</f>
        <v>-</v>
      </c>
      <c r="S153" s="29" t="str">
        <f>VLOOKUP($D153,Lists!$J$1:$AB$29,14,FALSE)</f>
        <v>-</v>
      </c>
      <c r="T153" s="29" t="str">
        <f>VLOOKUP($D153,Lists!$J$1:$AB$29,15,FALSE)</f>
        <v>-</v>
      </c>
      <c r="U153" s="29" t="str">
        <f>VLOOKUP($D153,Lists!$J$1:$AB$29,16,FALSE)</f>
        <v>-</v>
      </c>
      <c r="V153" s="29" t="str">
        <f>VLOOKUP($D153,Lists!$J$1:$AB$29,17,FALSE)</f>
        <v>-</v>
      </c>
      <c r="W153" s="29" t="str">
        <f>VLOOKUP($D153,Lists!$J$1:$AB$29,18,FALSE)</f>
        <v>-</v>
      </c>
      <c r="X153" s="29" t="str">
        <f>VLOOKUP($D153,Lists!$J$1:$AB$29,19,FALSE)</f>
        <v>-</v>
      </c>
      <c r="Y153" s="29" t="str">
        <f>VLOOKUP($D153,Lists!$J$1:$AC$29,20,FALSE)</f>
        <v>-</v>
      </c>
      <c r="Z153" s="32" t="str">
        <f t="shared" si="2"/>
        <v>8</v>
      </c>
    </row>
    <row r="154" spans="1:26" x14ac:dyDescent="0.25">
      <c r="A154" t="s">
        <v>83</v>
      </c>
      <c r="B154" t="s">
        <v>113</v>
      </c>
      <c r="C154" s="16" t="str">
        <f>A154&amp;B154</f>
        <v>TulipsYellow 9</v>
      </c>
      <c r="D154" s="8">
        <v>233</v>
      </c>
      <c r="E154" s="16" t="str">
        <f>A154&amp;D154</f>
        <v>Tulips233</v>
      </c>
      <c r="F154" s="29" t="str">
        <f>VLOOKUP($D154,Lists!$J$1:$AB$29,2,FALSE)</f>
        <v>Rr-YY-SS</v>
      </c>
      <c r="G154" t="s">
        <v>95</v>
      </c>
      <c r="H154" s="29" t="str">
        <f>VLOOKUP($D154,Lists!$J$1:$AB$29,3,FALSE)</f>
        <v>R</v>
      </c>
      <c r="I154" s="29">
        <f>VLOOKUP($D154,Lists!$J$1:$AB$29,4,FALSE)</f>
        <v>2</v>
      </c>
      <c r="J154" s="29" t="str">
        <f>VLOOKUP($D154,Lists!$J$1:$AB$29,5,FALSE)</f>
        <v>RYS</v>
      </c>
      <c r="K154" s="29">
        <f>VLOOKUP($D154,Lists!$J$1:$AB$29,6,FALSE)</f>
        <v>222</v>
      </c>
      <c r="L154" s="29" t="str">
        <f>VLOOKUP($D154,Lists!$J$1:$AB$29,7,FALSE)</f>
        <v>rYS</v>
      </c>
      <c r="M154" s="29">
        <f>VLOOKUP($D154,Lists!$J$1:$AB$29,8,FALSE)</f>
        <v>122</v>
      </c>
      <c r="N154" s="29" t="str">
        <f>VLOOKUP($D154,Lists!$J$1:$AB$29,9,FALSE)</f>
        <v>-</v>
      </c>
      <c r="O154" s="29" t="str">
        <f>VLOOKUP($D154,Lists!$J$1:$AB$29,10,FALSE)</f>
        <v>-</v>
      </c>
      <c r="P154" s="29" t="str">
        <f>VLOOKUP($D154,Lists!$J$1:$AB$29,11,FALSE)</f>
        <v>-</v>
      </c>
      <c r="Q154" s="29" t="str">
        <f>VLOOKUP($D154,Lists!$J$1:$AB$29,12,FALSE)</f>
        <v>-</v>
      </c>
      <c r="R154" s="29" t="str">
        <f>VLOOKUP($D154,Lists!$J$1:$AB$29,13,FALSE)</f>
        <v>-</v>
      </c>
      <c r="S154" s="29" t="str">
        <f>VLOOKUP($D154,Lists!$J$1:$AB$29,14,FALSE)</f>
        <v>-</v>
      </c>
      <c r="T154" s="29" t="str">
        <f>VLOOKUP($D154,Lists!$J$1:$AB$29,15,FALSE)</f>
        <v>-</v>
      </c>
      <c r="U154" s="29" t="str">
        <f>VLOOKUP($D154,Lists!$J$1:$AB$29,16,FALSE)</f>
        <v>-</v>
      </c>
      <c r="V154" s="29" t="str">
        <f>VLOOKUP($D154,Lists!$J$1:$AB$29,17,FALSE)</f>
        <v>-</v>
      </c>
      <c r="W154" s="29" t="str">
        <f>VLOOKUP($D154,Lists!$J$1:$AB$29,18,FALSE)</f>
        <v>-</v>
      </c>
      <c r="X154" s="29" t="str">
        <f>VLOOKUP($D154,Lists!$J$1:$AB$29,19,FALSE)</f>
        <v>-</v>
      </c>
      <c r="Y154" s="29" t="str">
        <f>VLOOKUP($D154,Lists!$J$1:$AC$29,20,FALSE)</f>
        <v>-</v>
      </c>
      <c r="Z154" s="32" t="str">
        <f t="shared" si="2"/>
        <v>9</v>
      </c>
    </row>
    <row r="155" spans="1:26" x14ac:dyDescent="0.25">
      <c r="A155" t="s">
        <v>83</v>
      </c>
      <c r="B155" t="s">
        <v>46</v>
      </c>
      <c r="C155" s="16" t="str">
        <f>A155&amp;B155</f>
        <v>TulipsBlack 1</v>
      </c>
      <c r="D155" s="8">
        <v>311</v>
      </c>
      <c r="E155" s="16" t="str">
        <f>A155&amp;D155</f>
        <v>Tulips311</v>
      </c>
      <c r="F155" s="29" t="str">
        <f>VLOOKUP($D155,Lists!$J$1:$AB$29,2,FALSE)</f>
        <v>RR-yy-ss</v>
      </c>
      <c r="G155" t="s">
        <v>99</v>
      </c>
      <c r="H155" s="29" t="str">
        <f>VLOOKUP($D155,Lists!$J$1:$AB$29,3,FALSE)</f>
        <v>-</v>
      </c>
      <c r="I155" s="29">
        <f>VLOOKUP($D155,Lists!$J$1:$AB$29,4,FALSE)</f>
        <v>1</v>
      </c>
      <c r="J155" s="29" t="str">
        <f>VLOOKUP($D155,Lists!$J$1:$AB$29,5,FALSE)</f>
        <v>Rys</v>
      </c>
      <c r="K155" s="29">
        <f>VLOOKUP($D155,Lists!$J$1:$AB$29,6,FALSE)</f>
        <v>211</v>
      </c>
      <c r="L155" s="29" t="str">
        <f>VLOOKUP($D155,Lists!$J$1:$AB$29,7,FALSE)</f>
        <v>-</v>
      </c>
      <c r="M155" s="29" t="str">
        <f>VLOOKUP($D155,Lists!$J$1:$AB$29,8,FALSE)</f>
        <v>-</v>
      </c>
      <c r="N155" s="29" t="str">
        <f>VLOOKUP($D155,Lists!$J$1:$AB$29,9,FALSE)</f>
        <v>-</v>
      </c>
      <c r="O155" s="29" t="str">
        <f>VLOOKUP($D155,Lists!$J$1:$AB$29,10,FALSE)</f>
        <v>-</v>
      </c>
      <c r="P155" s="29" t="str">
        <f>VLOOKUP($D155,Lists!$J$1:$AB$29,11,FALSE)</f>
        <v>-</v>
      </c>
      <c r="Q155" s="29" t="str">
        <f>VLOOKUP($D155,Lists!$J$1:$AB$29,12,FALSE)</f>
        <v>-</v>
      </c>
      <c r="R155" s="29" t="str">
        <f>VLOOKUP($D155,Lists!$J$1:$AB$29,13,FALSE)</f>
        <v>-</v>
      </c>
      <c r="S155" s="29" t="str">
        <f>VLOOKUP($D155,Lists!$J$1:$AB$29,14,FALSE)</f>
        <v>-</v>
      </c>
      <c r="T155" s="29" t="str">
        <f>VLOOKUP($D155,Lists!$J$1:$AB$29,15,FALSE)</f>
        <v>-</v>
      </c>
      <c r="U155" s="29" t="str">
        <f>VLOOKUP($D155,Lists!$J$1:$AB$29,16,FALSE)</f>
        <v>-</v>
      </c>
      <c r="V155" s="29" t="str">
        <f>VLOOKUP($D155,Lists!$J$1:$AB$29,17,FALSE)</f>
        <v>-</v>
      </c>
      <c r="W155" s="29" t="str">
        <f>VLOOKUP($D155,Lists!$J$1:$AB$29,18,FALSE)</f>
        <v>-</v>
      </c>
      <c r="X155" s="29" t="str">
        <f>VLOOKUP($D155,Lists!$J$1:$AB$29,19,FALSE)</f>
        <v>-</v>
      </c>
      <c r="Y155" s="29" t="str">
        <f>VLOOKUP($D155,Lists!$J$1:$AC$29,20,FALSE)</f>
        <v>-</v>
      </c>
      <c r="Z155" s="32" t="str">
        <f t="shared" si="2"/>
        <v>1</v>
      </c>
    </row>
    <row r="156" spans="1:26" x14ac:dyDescent="0.25">
      <c r="A156" t="s">
        <v>83</v>
      </c>
      <c r="B156" t="s">
        <v>77</v>
      </c>
      <c r="C156" s="16" t="str">
        <f>A156&amp;B156</f>
        <v>TulipsRed Seed</v>
      </c>
      <c r="D156" s="8">
        <v>312</v>
      </c>
      <c r="E156" s="16" t="str">
        <f>A156&amp;D156</f>
        <v>Tulips312</v>
      </c>
      <c r="F156" s="29" t="str">
        <f>VLOOKUP($D156,Lists!$J$1:$AB$29,2,FALSE)</f>
        <v>RR-yy-Ss</v>
      </c>
      <c r="G156" t="s">
        <v>94</v>
      </c>
      <c r="H156" s="29" t="str">
        <f>VLOOKUP($D156,Lists!$J$1:$AB$29,3,FALSE)</f>
        <v>S</v>
      </c>
      <c r="I156" s="29">
        <f>VLOOKUP($D156,Lists!$J$1:$AB$29,4,FALSE)</f>
        <v>2</v>
      </c>
      <c r="J156" s="29" t="str">
        <f>VLOOKUP($D156,Lists!$J$1:$AB$29,5,FALSE)</f>
        <v>RyS</v>
      </c>
      <c r="K156" s="29">
        <f>VLOOKUP($D156,Lists!$J$1:$AB$29,6,FALSE)</f>
        <v>212</v>
      </c>
      <c r="L156" s="29" t="str">
        <f>VLOOKUP($D156,Lists!$J$1:$AB$29,7,FALSE)</f>
        <v>Rys</v>
      </c>
      <c r="M156" s="29">
        <f>VLOOKUP($D156,Lists!$J$1:$AB$29,8,FALSE)</f>
        <v>211</v>
      </c>
      <c r="N156" s="29" t="str">
        <f>VLOOKUP($D156,Lists!$J$1:$AB$29,9,FALSE)</f>
        <v>-</v>
      </c>
      <c r="O156" s="29" t="str">
        <f>VLOOKUP($D156,Lists!$J$1:$AB$29,10,FALSE)</f>
        <v>-</v>
      </c>
      <c r="P156" s="29" t="str">
        <f>VLOOKUP($D156,Lists!$J$1:$AB$29,11,FALSE)</f>
        <v>-</v>
      </c>
      <c r="Q156" s="29" t="str">
        <f>VLOOKUP($D156,Lists!$J$1:$AB$29,12,FALSE)</f>
        <v>-</v>
      </c>
      <c r="R156" s="29" t="str">
        <f>VLOOKUP($D156,Lists!$J$1:$AB$29,13,FALSE)</f>
        <v>-</v>
      </c>
      <c r="S156" s="29" t="str">
        <f>VLOOKUP($D156,Lists!$J$1:$AB$29,14,FALSE)</f>
        <v>-</v>
      </c>
      <c r="T156" s="29" t="str">
        <f>VLOOKUP($D156,Lists!$J$1:$AB$29,15,FALSE)</f>
        <v>-</v>
      </c>
      <c r="U156" s="29" t="str">
        <f>VLOOKUP($D156,Lists!$J$1:$AB$29,16,FALSE)</f>
        <v>-</v>
      </c>
      <c r="V156" s="29" t="str">
        <f>VLOOKUP($D156,Lists!$J$1:$AB$29,17,FALSE)</f>
        <v>-</v>
      </c>
      <c r="W156" s="29" t="str">
        <f>VLOOKUP($D156,Lists!$J$1:$AB$29,18,FALSE)</f>
        <v>-</v>
      </c>
      <c r="X156" s="29" t="str">
        <f>VLOOKUP($D156,Lists!$J$1:$AB$29,19,FALSE)</f>
        <v>-</v>
      </c>
      <c r="Y156" s="29" t="str">
        <f>VLOOKUP($D156,Lists!$J$1:$AC$29,20,FALSE)</f>
        <v>-</v>
      </c>
      <c r="Z156" s="32" t="s">
        <v>141</v>
      </c>
    </row>
    <row r="157" spans="1:26" x14ac:dyDescent="0.25">
      <c r="A157" t="s">
        <v>83</v>
      </c>
      <c r="B157" t="s">
        <v>58</v>
      </c>
      <c r="C157" s="16" t="str">
        <f>A157&amp;B157</f>
        <v>TulipsRed 3</v>
      </c>
      <c r="D157" s="8">
        <v>313</v>
      </c>
      <c r="E157" s="16" t="str">
        <f>A157&amp;D157</f>
        <v>Tulips313</v>
      </c>
      <c r="F157" s="29" t="str">
        <f>VLOOKUP($D157,Lists!$J$1:$AB$29,2,FALSE)</f>
        <v>RR-yy-SS</v>
      </c>
      <c r="G157" t="s">
        <v>94</v>
      </c>
      <c r="H157" s="29" t="str">
        <f>VLOOKUP($D157,Lists!$J$1:$AB$29,3,FALSE)</f>
        <v>-</v>
      </c>
      <c r="I157" s="29">
        <f>VLOOKUP($D157,Lists!$J$1:$AB$29,4,FALSE)</f>
        <v>1</v>
      </c>
      <c r="J157" s="29" t="str">
        <f>VLOOKUP($D157,Lists!$J$1:$AB$29,5,FALSE)</f>
        <v>RyS</v>
      </c>
      <c r="K157" s="29">
        <f>VLOOKUP($D157,Lists!$J$1:$AB$29,6,FALSE)</f>
        <v>212</v>
      </c>
      <c r="L157" s="29" t="str">
        <f>VLOOKUP($D157,Lists!$J$1:$AB$29,7,FALSE)</f>
        <v>-</v>
      </c>
      <c r="M157" s="29" t="str">
        <f>VLOOKUP($D157,Lists!$J$1:$AB$29,8,FALSE)</f>
        <v>-</v>
      </c>
      <c r="N157" s="29" t="str">
        <f>VLOOKUP($D157,Lists!$J$1:$AB$29,9,FALSE)</f>
        <v>-</v>
      </c>
      <c r="O157" s="29" t="str">
        <f>VLOOKUP($D157,Lists!$J$1:$AB$29,10,FALSE)</f>
        <v>-</v>
      </c>
      <c r="P157" s="29" t="str">
        <f>VLOOKUP($D157,Lists!$J$1:$AB$29,11,FALSE)</f>
        <v>-</v>
      </c>
      <c r="Q157" s="29" t="str">
        <f>VLOOKUP($D157,Lists!$J$1:$AB$29,12,FALSE)</f>
        <v>-</v>
      </c>
      <c r="R157" s="29" t="str">
        <f>VLOOKUP($D157,Lists!$J$1:$AB$29,13,FALSE)</f>
        <v>-</v>
      </c>
      <c r="S157" s="29" t="str">
        <f>VLOOKUP($D157,Lists!$J$1:$AB$29,14,FALSE)</f>
        <v>-</v>
      </c>
      <c r="T157" s="29" t="str">
        <f>VLOOKUP($D157,Lists!$J$1:$AB$29,15,FALSE)</f>
        <v>-</v>
      </c>
      <c r="U157" s="29" t="str">
        <f>VLOOKUP($D157,Lists!$J$1:$AB$29,16,FALSE)</f>
        <v>-</v>
      </c>
      <c r="V157" s="29" t="str">
        <f>VLOOKUP($D157,Lists!$J$1:$AB$29,17,FALSE)</f>
        <v>-</v>
      </c>
      <c r="W157" s="29" t="str">
        <f>VLOOKUP($D157,Lists!$J$1:$AB$29,18,FALSE)</f>
        <v>-</v>
      </c>
      <c r="X157" s="29" t="str">
        <f>VLOOKUP($D157,Lists!$J$1:$AB$29,19,FALSE)</f>
        <v>-</v>
      </c>
      <c r="Y157" s="29" t="str">
        <f>VLOOKUP($D157,Lists!$J$1:$AC$29,20,FALSE)</f>
        <v>-</v>
      </c>
      <c r="Z157" s="32" t="str">
        <f t="shared" si="2"/>
        <v>3</v>
      </c>
    </row>
    <row r="158" spans="1:26" x14ac:dyDescent="0.25">
      <c r="A158" t="s">
        <v>83</v>
      </c>
      <c r="B158" t="s">
        <v>47</v>
      </c>
      <c r="C158" s="16" t="str">
        <f>A158&amp;B158</f>
        <v>TulipsBlack 2</v>
      </c>
      <c r="D158" s="8">
        <v>321</v>
      </c>
      <c r="E158" s="16" t="str">
        <f>A158&amp;D158</f>
        <v>Tulips321</v>
      </c>
      <c r="F158" s="29" t="str">
        <f>VLOOKUP($D158,Lists!$J$1:$AB$29,2,FALSE)</f>
        <v>RR-Yy-ss</v>
      </c>
      <c r="G158" t="s">
        <v>99</v>
      </c>
      <c r="H158" s="29" t="str">
        <f>VLOOKUP($D158,Lists!$J$1:$AB$29,3,FALSE)</f>
        <v>Y</v>
      </c>
      <c r="I158" s="29">
        <f>VLOOKUP($D158,Lists!$J$1:$AB$29,4,FALSE)</f>
        <v>2</v>
      </c>
      <c r="J158" s="29" t="str">
        <f>VLOOKUP($D158,Lists!$J$1:$AB$29,5,FALSE)</f>
        <v>RYs</v>
      </c>
      <c r="K158" s="29">
        <f>VLOOKUP($D158,Lists!$J$1:$AB$29,6,FALSE)</f>
        <v>221</v>
      </c>
      <c r="L158" s="29" t="str">
        <f>VLOOKUP($D158,Lists!$J$1:$AB$29,7,FALSE)</f>
        <v>Rys</v>
      </c>
      <c r="M158" s="29">
        <f>VLOOKUP($D158,Lists!$J$1:$AB$29,8,FALSE)</f>
        <v>211</v>
      </c>
      <c r="N158" s="29" t="str">
        <f>VLOOKUP($D158,Lists!$J$1:$AB$29,9,FALSE)</f>
        <v>-</v>
      </c>
      <c r="O158" s="29" t="str">
        <f>VLOOKUP($D158,Lists!$J$1:$AB$29,10,FALSE)</f>
        <v>-</v>
      </c>
      <c r="P158" s="29" t="str">
        <f>VLOOKUP($D158,Lists!$J$1:$AB$29,11,FALSE)</f>
        <v>-</v>
      </c>
      <c r="Q158" s="29" t="str">
        <f>VLOOKUP($D158,Lists!$J$1:$AB$29,12,FALSE)</f>
        <v>-</v>
      </c>
      <c r="R158" s="29" t="str">
        <f>VLOOKUP($D158,Lists!$J$1:$AB$29,13,FALSE)</f>
        <v>-</v>
      </c>
      <c r="S158" s="29" t="str">
        <f>VLOOKUP($D158,Lists!$J$1:$AB$29,14,FALSE)</f>
        <v>-</v>
      </c>
      <c r="T158" s="29" t="str">
        <f>VLOOKUP($D158,Lists!$J$1:$AB$29,15,FALSE)</f>
        <v>-</v>
      </c>
      <c r="U158" s="29" t="str">
        <f>VLOOKUP($D158,Lists!$J$1:$AB$29,16,FALSE)</f>
        <v>-</v>
      </c>
      <c r="V158" s="29" t="str">
        <f>VLOOKUP($D158,Lists!$J$1:$AB$29,17,FALSE)</f>
        <v>-</v>
      </c>
      <c r="W158" s="29" t="str">
        <f>VLOOKUP($D158,Lists!$J$1:$AB$29,18,FALSE)</f>
        <v>-</v>
      </c>
      <c r="X158" s="29" t="str">
        <f>VLOOKUP($D158,Lists!$J$1:$AB$29,19,FALSE)</f>
        <v>-</v>
      </c>
      <c r="Y158" s="29" t="str">
        <f>VLOOKUP($D158,Lists!$J$1:$AC$29,20,FALSE)</f>
        <v>-</v>
      </c>
      <c r="Z158" s="32" t="str">
        <f t="shared" si="2"/>
        <v>2</v>
      </c>
    </row>
    <row r="159" spans="1:26" x14ac:dyDescent="0.25">
      <c r="A159" t="s">
        <v>83</v>
      </c>
      <c r="B159" t="s">
        <v>57</v>
      </c>
      <c r="C159" s="16" t="str">
        <f>A159&amp;B159</f>
        <v>TulipsRed 4</v>
      </c>
      <c r="D159" s="8">
        <v>322</v>
      </c>
      <c r="E159" s="16" t="str">
        <f>A159&amp;D159</f>
        <v>Tulips322</v>
      </c>
      <c r="F159" s="29" t="str">
        <f>VLOOKUP($D159,Lists!$J$1:$AB$29,2,FALSE)</f>
        <v>RR-Yy-Ss</v>
      </c>
      <c r="G159" t="s">
        <v>94</v>
      </c>
      <c r="H159" s="29" t="str">
        <f>VLOOKUP($D159,Lists!$J$1:$AB$29,3,FALSE)</f>
        <v>YS</v>
      </c>
      <c r="I159" s="29">
        <f>VLOOKUP($D159,Lists!$J$1:$AB$29,4,FALSE)</f>
        <v>4</v>
      </c>
      <c r="J159" s="29" t="str">
        <f>VLOOKUP($D159,Lists!$J$1:$AB$29,5,FALSE)</f>
        <v>RYS</v>
      </c>
      <c r="K159" s="29">
        <f>VLOOKUP($D159,Lists!$J$1:$AB$29,6,FALSE)</f>
        <v>222</v>
      </c>
      <c r="L159" s="29" t="str">
        <f>VLOOKUP($D159,Lists!$J$1:$AB$29,7,FALSE)</f>
        <v>RyS</v>
      </c>
      <c r="M159" s="29">
        <f>VLOOKUP($D159,Lists!$J$1:$AB$29,8,FALSE)</f>
        <v>212</v>
      </c>
      <c r="N159" s="29" t="str">
        <f>VLOOKUP($D159,Lists!$J$1:$AB$29,9,FALSE)</f>
        <v>RYs</v>
      </c>
      <c r="O159" s="29">
        <f>VLOOKUP($D159,Lists!$J$1:$AB$29,10,FALSE)</f>
        <v>221</v>
      </c>
      <c r="P159" s="29" t="str">
        <f>VLOOKUP($D159,Lists!$J$1:$AB$29,11,FALSE)</f>
        <v>Rys</v>
      </c>
      <c r="Q159" s="29">
        <f>VLOOKUP($D159,Lists!$J$1:$AB$29,12,FALSE)</f>
        <v>211</v>
      </c>
      <c r="R159" s="29" t="str">
        <f>VLOOKUP($D159,Lists!$J$1:$AB$29,13,FALSE)</f>
        <v>-</v>
      </c>
      <c r="S159" s="29" t="str">
        <f>VLOOKUP($D159,Lists!$J$1:$AB$29,14,FALSE)</f>
        <v>-</v>
      </c>
      <c r="T159" s="29" t="str">
        <f>VLOOKUP($D159,Lists!$J$1:$AB$29,15,FALSE)</f>
        <v>-</v>
      </c>
      <c r="U159" s="29" t="str">
        <f>VLOOKUP($D159,Lists!$J$1:$AB$29,16,FALSE)</f>
        <v>-</v>
      </c>
      <c r="V159" s="29" t="str">
        <f>VLOOKUP($D159,Lists!$J$1:$AB$29,17,FALSE)</f>
        <v>-</v>
      </c>
      <c r="W159" s="29" t="str">
        <f>VLOOKUP($D159,Lists!$J$1:$AB$29,18,FALSE)</f>
        <v>-</v>
      </c>
      <c r="X159" s="29" t="str">
        <f>VLOOKUP($D159,Lists!$J$1:$AB$29,19,FALSE)</f>
        <v>-</v>
      </c>
      <c r="Y159" s="29" t="str">
        <f>VLOOKUP($D159,Lists!$J$1:$AC$29,20,FALSE)</f>
        <v>-</v>
      </c>
      <c r="Z159" s="32" t="str">
        <f t="shared" si="2"/>
        <v>4</v>
      </c>
    </row>
    <row r="160" spans="1:26" x14ac:dyDescent="0.25">
      <c r="A160" t="s">
        <v>83</v>
      </c>
      <c r="B160" t="s">
        <v>59</v>
      </c>
      <c r="C160" s="16" t="str">
        <f>A160&amp;B160</f>
        <v>TulipsRed 5</v>
      </c>
      <c r="D160" s="8">
        <v>323</v>
      </c>
      <c r="E160" s="16" t="str">
        <f>A160&amp;D160</f>
        <v>Tulips323</v>
      </c>
      <c r="F160" s="29" t="str">
        <f>VLOOKUP($D160,Lists!$J$1:$AB$29,2,FALSE)</f>
        <v>RR-Yy-SS</v>
      </c>
      <c r="G160" t="s">
        <v>94</v>
      </c>
      <c r="H160" s="29" t="str">
        <f>VLOOKUP($D160,Lists!$J$1:$AB$29,3,FALSE)</f>
        <v>Y</v>
      </c>
      <c r="I160" s="29">
        <f>VLOOKUP($D160,Lists!$J$1:$AB$29,4,FALSE)</f>
        <v>2</v>
      </c>
      <c r="J160" s="29" t="str">
        <f>VLOOKUP($D160,Lists!$J$1:$AB$29,5,FALSE)</f>
        <v>RYS</v>
      </c>
      <c r="K160" s="29">
        <f>VLOOKUP($D160,Lists!$J$1:$AB$29,6,FALSE)</f>
        <v>222</v>
      </c>
      <c r="L160" s="29" t="str">
        <f>VLOOKUP($D160,Lists!$J$1:$AB$29,7,FALSE)</f>
        <v>RyS</v>
      </c>
      <c r="M160" s="29">
        <f>VLOOKUP($D160,Lists!$J$1:$AB$29,8,FALSE)</f>
        <v>212</v>
      </c>
      <c r="N160" s="29" t="str">
        <f>VLOOKUP($D160,Lists!$J$1:$AB$29,9,FALSE)</f>
        <v>-</v>
      </c>
      <c r="O160" s="29" t="str">
        <f>VLOOKUP($D160,Lists!$J$1:$AB$29,10,FALSE)</f>
        <v>-</v>
      </c>
      <c r="P160" s="29" t="str">
        <f>VLOOKUP($D160,Lists!$J$1:$AB$29,11,FALSE)</f>
        <v>-</v>
      </c>
      <c r="Q160" s="29" t="str">
        <f>VLOOKUP($D160,Lists!$J$1:$AB$29,12,FALSE)</f>
        <v>-</v>
      </c>
      <c r="R160" s="29" t="str">
        <f>VLOOKUP($D160,Lists!$J$1:$AB$29,13,FALSE)</f>
        <v>-</v>
      </c>
      <c r="S160" s="29" t="str">
        <f>VLOOKUP($D160,Lists!$J$1:$AB$29,14,FALSE)</f>
        <v>-</v>
      </c>
      <c r="T160" s="29" t="str">
        <f>VLOOKUP($D160,Lists!$J$1:$AB$29,15,FALSE)</f>
        <v>-</v>
      </c>
      <c r="U160" s="29" t="str">
        <f>VLOOKUP($D160,Lists!$J$1:$AB$29,16,FALSE)</f>
        <v>-</v>
      </c>
      <c r="V160" s="29" t="str">
        <f>VLOOKUP($D160,Lists!$J$1:$AB$29,17,FALSE)</f>
        <v>-</v>
      </c>
      <c r="W160" s="29" t="str">
        <f>VLOOKUP($D160,Lists!$J$1:$AB$29,18,FALSE)</f>
        <v>-</v>
      </c>
      <c r="X160" s="29" t="str">
        <f>VLOOKUP($D160,Lists!$J$1:$AB$29,19,FALSE)</f>
        <v>-</v>
      </c>
      <c r="Y160" s="29" t="str">
        <f>VLOOKUP($D160,Lists!$J$1:$AC$29,20,FALSE)</f>
        <v>-</v>
      </c>
      <c r="Z160" s="32" t="str">
        <f t="shared" si="2"/>
        <v>5</v>
      </c>
    </row>
    <row r="161" spans="1:26" x14ac:dyDescent="0.25">
      <c r="A161" t="s">
        <v>83</v>
      </c>
      <c r="B161" t="s">
        <v>106</v>
      </c>
      <c r="C161" s="16" t="str">
        <f>A161&amp;B161</f>
        <v>TulipsPurple 1</v>
      </c>
      <c r="D161" s="8">
        <v>331</v>
      </c>
      <c r="E161" s="16" t="str">
        <f>A161&amp;D161</f>
        <v>Tulips331</v>
      </c>
      <c r="F161" s="29" t="str">
        <f>VLOOKUP($D161,Lists!$J$1:$AB$29,2,FALSE)</f>
        <v>RR-YY-ss</v>
      </c>
      <c r="G161" t="s">
        <v>112</v>
      </c>
      <c r="H161" s="29" t="str">
        <f>VLOOKUP($D161,Lists!$J$1:$AB$29,3,FALSE)</f>
        <v>-</v>
      </c>
      <c r="I161" s="29">
        <f>VLOOKUP($D161,Lists!$J$1:$AB$29,4,FALSE)</f>
        <v>1</v>
      </c>
      <c r="J161" s="29" t="str">
        <f>VLOOKUP($D161,Lists!$J$1:$AB$29,5,FALSE)</f>
        <v>RYs</v>
      </c>
      <c r="K161" s="29">
        <f>VLOOKUP($D161,Lists!$J$1:$AB$29,6,FALSE)</f>
        <v>221</v>
      </c>
      <c r="L161" s="29" t="str">
        <f>VLOOKUP($D161,Lists!$J$1:$AB$29,7,FALSE)</f>
        <v>-</v>
      </c>
      <c r="M161" s="29" t="str">
        <f>VLOOKUP($D161,Lists!$J$1:$AB$29,8,FALSE)</f>
        <v>-</v>
      </c>
      <c r="N161" s="29" t="str">
        <f>VLOOKUP($D161,Lists!$J$1:$AB$29,9,FALSE)</f>
        <v>-</v>
      </c>
      <c r="O161" s="29" t="str">
        <f>VLOOKUP($D161,Lists!$J$1:$AB$29,10,FALSE)</f>
        <v>-</v>
      </c>
      <c r="P161" s="29" t="str">
        <f>VLOOKUP($D161,Lists!$J$1:$AB$29,11,FALSE)</f>
        <v>-</v>
      </c>
      <c r="Q161" s="29" t="str">
        <f>VLOOKUP($D161,Lists!$J$1:$AB$29,12,FALSE)</f>
        <v>-</v>
      </c>
      <c r="R161" s="29" t="str">
        <f>VLOOKUP($D161,Lists!$J$1:$AB$29,13,FALSE)</f>
        <v>-</v>
      </c>
      <c r="S161" s="29" t="str">
        <f>VLOOKUP($D161,Lists!$J$1:$AB$29,14,FALSE)</f>
        <v>-</v>
      </c>
      <c r="T161" s="29" t="str">
        <f>VLOOKUP($D161,Lists!$J$1:$AB$29,15,FALSE)</f>
        <v>-</v>
      </c>
      <c r="U161" s="29" t="str">
        <f>VLOOKUP($D161,Lists!$J$1:$AB$29,16,FALSE)</f>
        <v>-</v>
      </c>
      <c r="V161" s="29" t="str">
        <f>VLOOKUP($D161,Lists!$J$1:$AB$29,17,FALSE)</f>
        <v>-</v>
      </c>
      <c r="W161" s="29" t="str">
        <f>VLOOKUP($D161,Lists!$J$1:$AB$29,18,FALSE)</f>
        <v>-</v>
      </c>
      <c r="X161" s="29" t="str">
        <f>VLOOKUP($D161,Lists!$J$1:$AB$29,19,FALSE)</f>
        <v>-</v>
      </c>
      <c r="Y161" s="29" t="str">
        <f>VLOOKUP($D161,Lists!$J$1:$AC$29,20,FALSE)</f>
        <v>-</v>
      </c>
      <c r="Z161" s="32" t="str">
        <f t="shared" si="2"/>
        <v>1</v>
      </c>
    </row>
    <row r="162" spans="1:26" x14ac:dyDescent="0.25">
      <c r="A162" t="s">
        <v>83</v>
      </c>
      <c r="B162" t="s">
        <v>107</v>
      </c>
      <c r="C162" s="16" t="str">
        <f>A162&amp;B162</f>
        <v>TulipsPurple 2</v>
      </c>
      <c r="D162" s="8">
        <v>332</v>
      </c>
      <c r="E162" s="16" t="str">
        <f>A162&amp;D162</f>
        <v>Tulips332</v>
      </c>
      <c r="F162" s="29" t="str">
        <f>VLOOKUP($D162,Lists!$J$1:$AB$29,2,FALSE)</f>
        <v>RR-YY-Ss</v>
      </c>
      <c r="G162" t="s">
        <v>112</v>
      </c>
      <c r="H162" s="29" t="str">
        <f>VLOOKUP($D162,Lists!$J$1:$AB$29,3,FALSE)</f>
        <v>S</v>
      </c>
      <c r="I162" s="29">
        <f>VLOOKUP($D162,Lists!$J$1:$AB$29,4,FALSE)</f>
        <v>2</v>
      </c>
      <c r="J162" s="29" t="str">
        <f>VLOOKUP($D162,Lists!$J$1:$AB$29,5,FALSE)</f>
        <v>RYS</v>
      </c>
      <c r="K162" s="29">
        <f>VLOOKUP($D162,Lists!$J$1:$AB$29,6,FALSE)</f>
        <v>222</v>
      </c>
      <c r="L162" s="29" t="str">
        <f>VLOOKUP($D162,Lists!$J$1:$AB$29,7,FALSE)</f>
        <v>Rys</v>
      </c>
      <c r="M162" s="29">
        <f>VLOOKUP($D162,Lists!$J$1:$AB$29,8,FALSE)</f>
        <v>211</v>
      </c>
      <c r="N162" s="29" t="str">
        <f>VLOOKUP($D162,Lists!$J$1:$AB$29,9,FALSE)</f>
        <v>-</v>
      </c>
      <c r="O162" s="29" t="str">
        <f>VLOOKUP($D162,Lists!$J$1:$AB$29,10,FALSE)</f>
        <v>-</v>
      </c>
      <c r="P162" s="29" t="str">
        <f>VLOOKUP($D162,Lists!$J$1:$AB$29,11,FALSE)</f>
        <v>-</v>
      </c>
      <c r="Q162" s="29" t="str">
        <f>VLOOKUP($D162,Lists!$J$1:$AB$29,12,FALSE)</f>
        <v>-</v>
      </c>
      <c r="R162" s="29" t="str">
        <f>VLOOKUP($D162,Lists!$J$1:$AB$29,13,FALSE)</f>
        <v>-</v>
      </c>
      <c r="S162" s="29" t="str">
        <f>VLOOKUP($D162,Lists!$J$1:$AB$29,14,FALSE)</f>
        <v>-</v>
      </c>
      <c r="T162" s="29" t="str">
        <f>VLOOKUP($D162,Lists!$J$1:$AB$29,15,FALSE)</f>
        <v>-</v>
      </c>
      <c r="U162" s="29" t="str">
        <f>VLOOKUP($D162,Lists!$J$1:$AB$29,16,FALSE)</f>
        <v>-</v>
      </c>
      <c r="V162" s="29" t="str">
        <f>VLOOKUP($D162,Lists!$J$1:$AB$29,17,FALSE)</f>
        <v>-</v>
      </c>
      <c r="W162" s="29" t="str">
        <f>VLOOKUP($D162,Lists!$J$1:$AB$29,18,FALSE)</f>
        <v>-</v>
      </c>
      <c r="X162" s="29" t="str">
        <f>VLOOKUP($D162,Lists!$J$1:$AB$29,19,FALSE)</f>
        <v>-</v>
      </c>
      <c r="Y162" s="29" t="str">
        <f>VLOOKUP($D162,Lists!$J$1:$AC$29,20,FALSE)</f>
        <v>-</v>
      </c>
      <c r="Z162" s="32" t="str">
        <f t="shared" si="2"/>
        <v>2</v>
      </c>
    </row>
    <row r="163" spans="1:26" x14ac:dyDescent="0.25">
      <c r="A163" t="s">
        <v>83</v>
      </c>
      <c r="B163" t="s">
        <v>108</v>
      </c>
      <c r="C163" s="16" t="str">
        <f>A163&amp;B163</f>
        <v>TulipsPurple 3</v>
      </c>
      <c r="D163" s="8">
        <v>333</v>
      </c>
      <c r="E163" s="16" t="str">
        <f>A163&amp;D163</f>
        <v>Tulips333</v>
      </c>
      <c r="F163" s="29" t="str">
        <f>VLOOKUP($D163,Lists!$J$1:$AB$29,2,FALSE)</f>
        <v>RR-YY-SS</v>
      </c>
      <c r="G163" t="s">
        <v>112</v>
      </c>
      <c r="H163" s="29" t="str">
        <f>VLOOKUP($D163,Lists!$J$1:$AB$29,3,FALSE)</f>
        <v>-</v>
      </c>
      <c r="I163" s="29">
        <f>VLOOKUP($D163,Lists!$J$1:$AB$29,4,FALSE)</f>
        <v>1</v>
      </c>
      <c r="J163" s="29" t="str">
        <f>VLOOKUP($D163,Lists!$J$1:$AB$29,5,FALSE)</f>
        <v>RYS</v>
      </c>
      <c r="K163" s="29">
        <f>VLOOKUP($D163,Lists!$J$1:$AB$29,6,FALSE)</f>
        <v>222</v>
      </c>
      <c r="L163" s="29" t="str">
        <f>VLOOKUP($D163,Lists!$J$1:$AB$29,7,FALSE)</f>
        <v>-</v>
      </c>
      <c r="M163" s="29" t="str">
        <f>VLOOKUP($D163,Lists!$J$1:$AB$29,8,FALSE)</f>
        <v>-</v>
      </c>
      <c r="N163" s="29" t="str">
        <f>VLOOKUP($D163,Lists!$J$1:$AB$29,9,FALSE)</f>
        <v>-</v>
      </c>
      <c r="O163" s="29" t="str">
        <f>VLOOKUP($D163,Lists!$J$1:$AB$29,10,FALSE)</f>
        <v>-</v>
      </c>
      <c r="P163" s="29" t="str">
        <f>VLOOKUP($D163,Lists!$J$1:$AB$29,11,FALSE)</f>
        <v>-</v>
      </c>
      <c r="Q163" s="29" t="str">
        <f>VLOOKUP($D163,Lists!$J$1:$AB$29,12,FALSE)</f>
        <v>-</v>
      </c>
      <c r="R163" s="29" t="str">
        <f>VLOOKUP($D163,Lists!$J$1:$AB$29,13,FALSE)</f>
        <v>-</v>
      </c>
      <c r="S163" s="29" t="str">
        <f>VLOOKUP($D163,Lists!$J$1:$AB$29,14,FALSE)</f>
        <v>-</v>
      </c>
      <c r="T163" s="29" t="str">
        <f>VLOOKUP($D163,Lists!$J$1:$AB$29,15,FALSE)</f>
        <v>-</v>
      </c>
      <c r="U163" s="29" t="str">
        <f>VLOOKUP($D163,Lists!$J$1:$AB$29,16,FALSE)</f>
        <v>-</v>
      </c>
      <c r="V163" s="29" t="str">
        <f>VLOOKUP($D163,Lists!$J$1:$AB$29,17,FALSE)</f>
        <v>-</v>
      </c>
      <c r="W163" s="29" t="str">
        <f>VLOOKUP($D163,Lists!$J$1:$AB$29,18,FALSE)</f>
        <v>-</v>
      </c>
      <c r="X163" s="29" t="str">
        <f>VLOOKUP($D163,Lists!$J$1:$AB$29,19,FALSE)</f>
        <v>-</v>
      </c>
      <c r="Y163" s="29" t="str">
        <f>VLOOKUP($D163,Lists!$J$1:$AC$29,20,FALSE)</f>
        <v>-</v>
      </c>
      <c r="Z163" s="32" t="str">
        <f t="shared" si="2"/>
        <v>3</v>
      </c>
    </row>
    <row r="164" spans="1:26" x14ac:dyDescent="0.25">
      <c r="A164" t="s">
        <v>81</v>
      </c>
      <c r="B164" t="s">
        <v>40</v>
      </c>
      <c r="C164" s="16" t="str">
        <f>A164&amp;B164</f>
        <v>WindflowersWhite 2</v>
      </c>
      <c r="D164" s="8">
        <v>111</v>
      </c>
      <c r="E164" s="16" t="str">
        <f>A164&amp;D164</f>
        <v>Windflowers111</v>
      </c>
      <c r="F164" s="29" t="str">
        <f>VLOOKUP($D164,Lists!$J$1:$AB$29,2,FALSE)</f>
        <v>rr-yy-ss</v>
      </c>
      <c r="G164" t="s">
        <v>96</v>
      </c>
      <c r="H164" s="29" t="str">
        <f>VLOOKUP($D164,Lists!$J$1:$AB$29,3,FALSE)</f>
        <v>-</v>
      </c>
      <c r="I164" s="29">
        <f>VLOOKUP($D164,Lists!$J$1:$AB$29,4,FALSE)</f>
        <v>1</v>
      </c>
      <c r="J164" s="29" t="str">
        <f>VLOOKUP($D164,Lists!$J$1:$AB$29,5,FALSE)</f>
        <v>rys</v>
      </c>
      <c r="K164" s="29">
        <f>VLOOKUP($D164,Lists!$J$1:$AB$29,6,FALSE)</f>
        <v>111</v>
      </c>
      <c r="L164" s="29" t="str">
        <f>VLOOKUP($D164,Lists!$J$1:$AB$29,7,FALSE)</f>
        <v>-</v>
      </c>
      <c r="M164" s="29" t="str">
        <f>VLOOKUP($D164,Lists!$J$1:$AB$29,8,FALSE)</f>
        <v>-</v>
      </c>
      <c r="N164" s="29" t="str">
        <f>VLOOKUP($D164,Lists!$J$1:$AB$29,9,FALSE)</f>
        <v>-</v>
      </c>
      <c r="O164" s="29" t="str">
        <f>VLOOKUP($D164,Lists!$J$1:$AB$29,10,FALSE)</f>
        <v>-</v>
      </c>
      <c r="P164" s="29" t="str">
        <f>VLOOKUP($D164,Lists!$J$1:$AB$29,11,FALSE)</f>
        <v>-</v>
      </c>
      <c r="Q164" s="29" t="str">
        <f>VLOOKUP($D164,Lists!$J$1:$AB$29,12,FALSE)</f>
        <v>-</v>
      </c>
      <c r="R164" s="29" t="str">
        <f>VLOOKUP($D164,Lists!$J$1:$AB$29,13,FALSE)</f>
        <v>-</v>
      </c>
      <c r="S164" s="29" t="str">
        <f>VLOOKUP($D164,Lists!$J$1:$AB$29,14,FALSE)</f>
        <v>-</v>
      </c>
      <c r="T164" s="29" t="str">
        <f>VLOOKUP($D164,Lists!$J$1:$AB$29,15,FALSE)</f>
        <v>-</v>
      </c>
      <c r="U164" s="29" t="str">
        <f>VLOOKUP($D164,Lists!$J$1:$AB$29,16,FALSE)</f>
        <v>-</v>
      </c>
      <c r="V164" s="29" t="str">
        <f>VLOOKUP($D164,Lists!$J$1:$AB$29,17,FALSE)</f>
        <v>-</v>
      </c>
      <c r="W164" s="29" t="str">
        <f>VLOOKUP($D164,Lists!$J$1:$AB$29,18,FALSE)</f>
        <v>-</v>
      </c>
      <c r="X164" s="29" t="str">
        <f>VLOOKUP($D164,Lists!$J$1:$AB$29,19,FALSE)</f>
        <v>-</v>
      </c>
      <c r="Y164" s="29" t="str">
        <f>VLOOKUP($D164,Lists!$J$1:$AC$29,20,FALSE)</f>
        <v>-</v>
      </c>
      <c r="Z164" s="32" t="str">
        <f t="shared" si="2"/>
        <v>2</v>
      </c>
    </row>
    <row r="165" spans="1:26" x14ac:dyDescent="0.25">
      <c r="A165" t="s">
        <v>81</v>
      </c>
      <c r="B165" t="s">
        <v>85</v>
      </c>
      <c r="C165" s="16" t="str">
        <f>A165&amp;B165</f>
        <v>WindflowersWhite Seed</v>
      </c>
      <c r="D165" s="8">
        <v>112</v>
      </c>
      <c r="E165" s="16" t="str">
        <f>A165&amp;D165</f>
        <v>Windflowers112</v>
      </c>
      <c r="F165" s="29" t="str">
        <f>VLOOKUP($D165,Lists!$J$1:$AB$29,2,FALSE)</f>
        <v>rr-yy-Ss</v>
      </c>
      <c r="G165" t="s">
        <v>96</v>
      </c>
      <c r="H165" s="29" t="str">
        <f>VLOOKUP($D165,Lists!$J$1:$AB$29,3,FALSE)</f>
        <v>S</v>
      </c>
      <c r="I165" s="29">
        <f>VLOOKUP($D165,Lists!$J$1:$AB$29,4,FALSE)</f>
        <v>2</v>
      </c>
      <c r="J165" s="29" t="str">
        <f>VLOOKUP($D165,Lists!$J$1:$AB$29,5,FALSE)</f>
        <v>rys</v>
      </c>
      <c r="K165" s="29">
        <f>VLOOKUP($D165,Lists!$J$1:$AB$29,6,FALSE)</f>
        <v>111</v>
      </c>
      <c r="L165" s="29" t="str">
        <f>VLOOKUP($D165,Lists!$J$1:$AB$29,7,FALSE)</f>
        <v>ryS</v>
      </c>
      <c r="M165" s="29">
        <f>VLOOKUP($D165,Lists!$J$1:$AB$29,8,FALSE)</f>
        <v>112</v>
      </c>
      <c r="N165" s="29" t="str">
        <f>VLOOKUP($D165,Lists!$J$1:$AB$29,9,FALSE)</f>
        <v>-</v>
      </c>
      <c r="O165" s="29" t="str">
        <f>VLOOKUP($D165,Lists!$J$1:$AB$29,10,FALSE)</f>
        <v>-</v>
      </c>
      <c r="P165" s="29" t="str">
        <f>VLOOKUP($D165,Lists!$J$1:$AB$29,11,FALSE)</f>
        <v>-</v>
      </c>
      <c r="Q165" s="29" t="str">
        <f>VLOOKUP($D165,Lists!$J$1:$AB$29,12,FALSE)</f>
        <v>-</v>
      </c>
      <c r="R165" s="29" t="str">
        <f>VLOOKUP($D165,Lists!$J$1:$AB$29,13,FALSE)</f>
        <v>-</v>
      </c>
      <c r="S165" s="29" t="str">
        <f>VLOOKUP($D165,Lists!$J$1:$AB$29,14,FALSE)</f>
        <v>-</v>
      </c>
      <c r="T165" s="29" t="str">
        <f>VLOOKUP($D165,Lists!$J$1:$AB$29,15,FALSE)</f>
        <v>-</v>
      </c>
      <c r="U165" s="29" t="str">
        <f>VLOOKUP($D165,Lists!$J$1:$AB$29,16,FALSE)</f>
        <v>-</v>
      </c>
      <c r="V165" s="29" t="str">
        <f>VLOOKUP($D165,Lists!$J$1:$AB$29,17,FALSE)</f>
        <v>-</v>
      </c>
      <c r="W165" s="29" t="str">
        <f>VLOOKUP($D165,Lists!$J$1:$AB$29,18,FALSE)</f>
        <v>-</v>
      </c>
      <c r="X165" s="29" t="str">
        <f>VLOOKUP($D165,Lists!$J$1:$AB$29,19,FALSE)</f>
        <v>-</v>
      </c>
      <c r="Y165" s="29" t="str">
        <f>VLOOKUP($D165,Lists!$J$1:$AC$29,20,FALSE)</f>
        <v>-</v>
      </c>
      <c r="Z165" s="32" t="s">
        <v>141</v>
      </c>
    </row>
    <row r="166" spans="1:26" x14ac:dyDescent="0.25">
      <c r="A166" t="s">
        <v>81</v>
      </c>
      <c r="B166" t="s">
        <v>103</v>
      </c>
      <c r="C166" s="16" t="str">
        <f>A166&amp;B166</f>
        <v>WindflowersBlue 1</v>
      </c>
      <c r="D166" s="8">
        <v>113</v>
      </c>
      <c r="E166" s="16" t="str">
        <f>A166&amp;D166</f>
        <v>Windflowers113</v>
      </c>
      <c r="F166" s="29" t="str">
        <f>VLOOKUP($D166,Lists!$J$1:$AB$29,2,FALSE)</f>
        <v>rr-yy-SS</v>
      </c>
      <c r="G166" t="s">
        <v>111</v>
      </c>
      <c r="H166" s="29" t="str">
        <f>VLOOKUP($D166,Lists!$J$1:$AB$29,3,FALSE)</f>
        <v>-</v>
      </c>
      <c r="I166" s="29">
        <f>VLOOKUP($D166,Lists!$J$1:$AB$29,4,FALSE)</f>
        <v>1</v>
      </c>
      <c r="J166" s="29" t="str">
        <f>VLOOKUP($D166,Lists!$J$1:$AB$29,5,FALSE)</f>
        <v>ryS</v>
      </c>
      <c r="K166" s="29">
        <f>VLOOKUP($D166,Lists!$J$1:$AB$29,6,FALSE)</f>
        <v>112</v>
      </c>
      <c r="L166" s="29" t="str">
        <f>VLOOKUP($D166,Lists!$J$1:$AB$29,7,FALSE)</f>
        <v>-</v>
      </c>
      <c r="M166" s="29" t="str">
        <f>VLOOKUP($D166,Lists!$J$1:$AB$29,8,FALSE)</f>
        <v>-</v>
      </c>
      <c r="N166" s="29" t="str">
        <f>VLOOKUP($D166,Lists!$J$1:$AB$29,9,FALSE)</f>
        <v>-</v>
      </c>
      <c r="O166" s="29" t="str">
        <f>VLOOKUP($D166,Lists!$J$1:$AB$29,10,FALSE)</f>
        <v>-</v>
      </c>
      <c r="P166" s="29" t="str">
        <f>VLOOKUP($D166,Lists!$J$1:$AB$29,11,FALSE)</f>
        <v>-</v>
      </c>
      <c r="Q166" s="29" t="str">
        <f>VLOOKUP($D166,Lists!$J$1:$AB$29,12,FALSE)</f>
        <v>-</v>
      </c>
      <c r="R166" s="29" t="str">
        <f>VLOOKUP($D166,Lists!$J$1:$AB$29,13,FALSE)</f>
        <v>-</v>
      </c>
      <c r="S166" s="29" t="str">
        <f>VLOOKUP($D166,Lists!$J$1:$AB$29,14,FALSE)</f>
        <v>-</v>
      </c>
      <c r="T166" s="29" t="str">
        <f>VLOOKUP($D166,Lists!$J$1:$AB$29,15,FALSE)</f>
        <v>-</v>
      </c>
      <c r="U166" s="29" t="str">
        <f>VLOOKUP($D166,Lists!$J$1:$AB$29,16,FALSE)</f>
        <v>-</v>
      </c>
      <c r="V166" s="29" t="str">
        <f>VLOOKUP($D166,Lists!$J$1:$AB$29,17,FALSE)</f>
        <v>-</v>
      </c>
      <c r="W166" s="29" t="str">
        <f>VLOOKUP($D166,Lists!$J$1:$AB$29,18,FALSE)</f>
        <v>-</v>
      </c>
      <c r="X166" s="29" t="str">
        <f>VLOOKUP($D166,Lists!$J$1:$AB$29,19,FALSE)</f>
        <v>-</v>
      </c>
      <c r="Y166" s="29" t="str">
        <f>VLOOKUP($D166,Lists!$J$1:$AC$29,20,FALSE)</f>
        <v>-</v>
      </c>
      <c r="Z166" s="32" t="str">
        <f t="shared" si="2"/>
        <v>1</v>
      </c>
    </row>
    <row r="167" spans="1:26" x14ac:dyDescent="0.25">
      <c r="A167" t="s">
        <v>81</v>
      </c>
      <c r="B167" t="s">
        <v>19</v>
      </c>
      <c r="C167" s="16" t="str">
        <f>A167&amp;B167</f>
        <v>WindflowersOrange 2</v>
      </c>
      <c r="D167" s="8">
        <v>121</v>
      </c>
      <c r="E167" s="16" t="str">
        <f>A167&amp;D167</f>
        <v>Windflowers121</v>
      </c>
      <c r="F167" s="29" t="str">
        <f>VLOOKUP($D167,Lists!$J$1:$AB$29,2,FALSE)</f>
        <v>rr-Yy-ss</v>
      </c>
      <c r="G167" t="s">
        <v>97</v>
      </c>
      <c r="H167" s="29" t="str">
        <f>VLOOKUP($D167,Lists!$J$1:$AB$29,3,FALSE)</f>
        <v>Y</v>
      </c>
      <c r="I167" s="29">
        <f>VLOOKUP($D167,Lists!$J$1:$AB$29,4,FALSE)</f>
        <v>2</v>
      </c>
      <c r="J167" s="29" t="str">
        <f>VLOOKUP($D167,Lists!$J$1:$AB$29,5,FALSE)</f>
        <v>rYs</v>
      </c>
      <c r="K167" s="29">
        <f>VLOOKUP($D167,Lists!$J$1:$AB$29,6,FALSE)</f>
        <v>121</v>
      </c>
      <c r="L167" s="29" t="str">
        <f>VLOOKUP($D167,Lists!$J$1:$AB$29,7,FALSE)</f>
        <v>rys</v>
      </c>
      <c r="M167" s="29">
        <f>VLOOKUP($D167,Lists!$J$1:$AB$29,8,FALSE)</f>
        <v>111</v>
      </c>
      <c r="N167" s="29" t="str">
        <f>VLOOKUP($D167,Lists!$J$1:$AB$29,9,FALSE)</f>
        <v>-</v>
      </c>
      <c r="O167" s="29" t="str">
        <f>VLOOKUP($D167,Lists!$J$1:$AB$29,10,FALSE)</f>
        <v>-</v>
      </c>
      <c r="P167" s="29" t="str">
        <f>VLOOKUP($D167,Lists!$J$1:$AB$29,11,FALSE)</f>
        <v>-</v>
      </c>
      <c r="Q167" s="29" t="str">
        <f>VLOOKUP($D167,Lists!$J$1:$AB$29,12,FALSE)</f>
        <v>-</v>
      </c>
      <c r="R167" s="29" t="str">
        <f>VLOOKUP($D167,Lists!$J$1:$AB$29,13,FALSE)</f>
        <v>-</v>
      </c>
      <c r="S167" s="29" t="str">
        <f>VLOOKUP($D167,Lists!$J$1:$AB$29,14,FALSE)</f>
        <v>-</v>
      </c>
      <c r="T167" s="29" t="str">
        <f>VLOOKUP($D167,Lists!$J$1:$AB$29,15,FALSE)</f>
        <v>-</v>
      </c>
      <c r="U167" s="29" t="str">
        <f>VLOOKUP($D167,Lists!$J$1:$AB$29,16,FALSE)</f>
        <v>-</v>
      </c>
      <c r="V167" s="29" t="str">
        <f>VLOOKUP($D167,Lists!$J$1:$AB$29,17,FALSE)</f>
        <v>-</v>
      </c>
      <c r="W167" s="29" t="str">
        <f>VLOOKUP($D167,Lists!$J$1:$AB$29,18,FALSE)</f>
        <v>-</v>
      </c>
      <c r="X167" s="29" t="str">
        <f>VLOOKUP($D167,Lists!$J$1:$AB$29,19,FALSE)</f>
        <v>-</v>
      </c>
      <c r="Y167" s="29" t="str">
        <f>VLOOKUP($D167,Lists!$J$1:$AC$29,20,FALSE)</f>
        <v>-</v>
      </c>
      <c r="Z167" s="32" t="str">
        <f t="shared" si="2"/>
        <v>2</v>
      </c>
    </row>
    <row r="168" spans="1:26" x14ac:dyDescent="0.25">
      <c r="A168" t="s">
        <v>81</v>
      </c>
      <c r="B168" t="s">
        <v>63</v>
      </c>
      <c r="C168" s="16" t="str">
        <f>A168&amp;B168</f>
        <v>WindflowersOrange 3</v>
      </c>
      <c r="D168" s="8">
        <v>122</v>
      </c>
      <c r="E168" s="16" t="str">
        <f>A168&amp;D168</f>
        <v>Windflowers122</v>
      </c>
      <c r="F168" s="29" t="str">
        <f>VLOOKUP($D168,Lists!$J$1:$AB$29,2,FALSE)</f>
        <v>rr-Yy-Ss</v>
      </c>
      <c r="G168" t="s">
        <v>97</v>
      </c>
      <c r="H168" s="29" t="str">
        <f>VLOOKUP($D168,Lists!$J$1:$AB$29,3,FALSE)</f>
        <v>YS</v>
      </c>
      <c r="I168" s="29">
        <f>VLOOKUP($D168,Lists!$J$1:$AB$29,4,FALSE)</f>
        <v>4</v>
      </c>
      <c r="J168" s="29" t="str">
        <f>VLOOKUP($D168,Lists!$J$1:$AB$29,5,FALSE)</f>
        <v>rYS</v>
      </c>
      <c r="K168" s="29">
        <f>VLOOKUP($D168,Lists!$J$1:$AB$29,6,FALSE)</f>
        <v>122</v>
      </c>
      <c r="L168" s="29" t="str">
        <f>VLOOKUP($D168,Lists!$J$1:$AB$29,7,FALSE)</f>
        <v>ryS</v>
      </c>
      <c r="M168" s="29">
        <f>VLOOKUP($D168,Lists!$J$1:$AB$29,8,FALSE)</f>
        <v>112</v>
      </c>
      <c r="N168" s="29" t="str">
        <f>VLOOKUP($D168,Lists!$J$1:$AB$29,9,FALSE)</f>
        <v>rYs</v>
      </c>
      <c r="O168" s="29">
        <f>VLOOKUP($D168,Lists!$J$1:$AB$29,10,FALSE)</f>
        <v>121</v>
      </c>
      <c r="P168" s="29" t="str">
        <f>VLOOKUP($D168,Lists!$J$1:$AB$29,11,FALSE)</f>
        <v>rys</v>
      </c>
      <c r="Q168" s="29">
        <f>VLOOKUP($D168,Lists!$J$1:$AB$29,12,FALSE)</f>
        <v>111</v>
      </c>
      <c r="R168" s="29" t="str">
        <f>VLOOKUP($D168,Lists!$J$1:$AB$29,13,FALSE)</f>
        <v>-</v>
      </c>
      <c r="S168" s="29" t="str">
        <f>VLOOKUP($D168,Lists!$J$1:$AB$29,14,FALSE)</f>
        <v>-</v>
      </c>
      <c r="T168" s="29" t="str">
        <f>VLOOKUP($D168,Lists!$J$1:$AB$29,15,FALSE)</f>
        <v>-</v>
      </c>
      <c r="U168" s="29" t="str">
        <f>VLOOKUP($D168,Lists!$J$1:$AB$29,16,FALSE)</f>
        <v>-</v>
      </c>
      <c r="V168" s="29" t="str">
        <f>VLOOKUP($D168,Lists!$J$1:$AB$29,17,FALSE)</f>
        <v>-</v>
      </c>
      <c r="W168" s="29" t="str">
        <f>VLOOKUP($D168,Lists!$J$1:$AB$29,18,FALSE)</f>
        <v>-</v>
      </c>
      <c r="X168" s="29" t="str">
        <f>VLOOKUP($D168,Lists!$J$1:$AB$29,19,FALSE)</f>
        <v>-</v>
      </c>
      <c r="Y168" s="29" t="str">
        <f>VLOOKUP($D168,Lists!$J$1:$AC$29,20,FALSE)</f>
        <v>-</v>
      </c>
      <c r="Z168" s="32" t="str">
        <f t="shared" si="2"/>
        <v>3</v>
      </c>
    </row>
    <row r="169" spans="1:26" x14ac:dyDescent="0.25">
      <c r="A169" t="s">
        <v>81</v>
      </c>
      <c r="B169" t="s">
        <v>104</v>
      </c>
      <c r="C169" s="16" t="str">
        <f>A169&amp;B169</f>
        <v>WindflowersBlue 2</v>
      </c>
      <c r="D169" s="8">
        <v>123</v>
      </c>
      <c r="E169" s="16" t="str">
        <f>A169&amp;D169</f>
        <v>Windflowers123</v>
      </c>
      <c r="F169" s="29" t="str">
        <f>VLOOKUP($D169,Lists!$J$1:$AB$29,2,FALSE)</f>
        <v>rr-Yy-SS</v>
      </c>
      <c r="G169" t="s">
        <v>111</v>
      </c>
      <c r="H169" s="29" t="str">
        <f>VLOOKUP($D169,Lists!$J$1:$AB$29,3,FALSE)</f>
        <v>Y</v>
      </c>
      <c r="I169" s="29">
        <f>VLOOKUP($D169,Lists!$J$1:$AB$29,4,FALSE)</f>
        <v>2</v>
      </c>
      <c r="J169" s="29" t="str">
        <f>VLOOKUP($D169,Lists!$J$1:$AB$29,5,FALSE)</f>
        <v>rYS</v>
      </c>
      <c r="K169" s="29">
        <f>VLOOKUP($D169,Lists!$J$1:$AB$29,6,FALSE)</f>
        <v>122</v>
      </c>
      <c r="L169" s="29" t="str">
        <f>VLOOKUP($D169,Lists!$J$1:$AB$29,7,FALSE)</f>
        <v>ryS</v>
      </c>
      <c r="M169" s="29">
        <f>VLOOKUP($D169,Lists!$J$1:$AB$29,8,FALSE)</f>
        <v>112</v>
      </c>
      <c r="N169" s="29" t="str">
        <f>VLOOKUP($D169,Lists!$J$1:$AB$29,9,FALSE)</f>
        <v>-</v>
      </c>
      <c r="O169" s="29" t="str">
        <f>VLOOKUP($D169,Lists!$J$1:$AB$29,10,FALSE)</f>
        <v>-</v>
      </c>
      <c r="P169" s="29" t="str">
        <f>VLOOKUP($D169,Lists!$J$1:$AB$29,11,FALSE)</f>
        <v>-</v>
      </c>
      <c r="Q169" s="29" t="str">
        <f>VLOOKUP($D169,Lists!$J$1:$AB$29,12,FALSE)</f>
        <v>-</v>
      </c>
      <c r="R169" s="29" t="str">
        <f>VLOOKUP($D169,Lists!$J$1:$AB$29,13,FALSE)</f>
        <v>-</v>
      </c>
      <c r="S169" s="29" t="str">
        <f>VLOOKUP($D169,Lists!$J$1:$AB$29,14,FALSE)</f>
        <v>-</v>
      </c>
      <c r="T169" s="29" t="str">
        <f>VLOOKUP($D169,Lists!$J$1:$AB$29,15,FALSE)</f>
        <v>-</v>
      </c>
      <c r="U169" s="29" t="str">
        <f>VLOOKUP($D169,Lists!$J$1:$AB$29,16,FALSE)</f>
        <v>-</v>
      </c>
      <c r="V169" s="29" t="str">
        <f>VLOOKUP($D169,Lists!$J$1:$AB$29,17,FALSE)</f>
        <v>-</v>
      </c>
      <c r="W169" s="29" t="str">
        <f>VLOOKUP($D169,Lists!$J$1:$AB$29,18,FALSE)</f>
        <v>-</v>
      </c>
      <c r="X169" s="29" t="str">
        <f>VLOOKUP($D169,Lists!$J$1:$AB$29,19,FALSE)</f>
        <v>-</v>
      </c>
      <c r="Y169" s="29" t="str">
        <f>VLOOKUP($D169,Lists!$J$1:$AC$29,20,FALSE)</f>
        <v>-</v>
      </c>
      <c r="Z169" s="32" t="str">
        <f t="shared" si="2"/>
        <v>2</v>
      </c>
    </row>
    <row r="170" spans="1:26" x14ac:dyDescent="0.25">
      <c r="A170" t="s">
        <v>81</v>
      </c>
      <c r="B170" t="s">
        <v>119</v>
      </c>
      <c r="C170" s="16" t="str">
        <f>A170&amp;B170</f>
        <v>WindflowersOrange Seed</v>
      </c>
      <c r="D170" s="8">
        <v>131</v>
      </c>
      <c r="E170" s="16" t="str">
        <f>A170&amp;D170</f>
        <v>Windflowers131</v>
      </c>
      <c r="F170" s="29" t="str">
        <f>VLOOKUP($D170,Lists!$J$1:$AB$29,2,FALSE)</f>
        <v>rr-YY-ss</v>
      </c>
      <c r="G170" t="s">
        <v>97</v>
      </c>
      <c r="H170" s="29" t="str">
        <f>VLOOKUP($D170,Lists!$J$1:$AB$29,3,FALSE)</f>
        <v>-</v>
      </c>
      <c r="I170" s="29">
        <f>VLOOKUP($D170,Lists!$J$1:$AB$29,4,FALSE)</f>
        <v>1</v>
      </c>
      <c r="J170" s="29" t="str">
        <f>VLOOKUP($D170,Lists!$J$1:$AB$29,5,FALSE)</f>
        <v>rYs</v>
      </c>
      <c r="K170" s="29">
        <f>VLOOKUP($D170,Lists!$J$1:$AB$29,6,FALSE)</f>
        <v>121</v>
      </c>
      <c r="L170" s="29" t="str">
        <f>VLOOKUP($D170,Lists!$J$1:$AB$29,7,FALSE)</f>
        <v>-</v>
      </c>
      <c r="M170" s="29" t="str">
        <f>VLOOKUP($D170,Lists!$J$1:$AB$29,8,FALSE)</f>
        <v>-</v>
      </c>
      <c r="N170" s="29" t="str">
        <f>VLOOKUP($D170,Lists!$J$1:$AB$29,9,FALSE)</f>
        <v>-</v>
      </c>
      <c r="O170" s="29" t="str">
        <f>VLOOKUP($D170,Lists!$J$1:$AB$29,10,FALSE)</f>
        <v>-</v>
      </c>
      <c r="P170" s="29" t="str">
        <f>VLOOKUP($D170,Lists!$J$1:$AB$29,11,FALSE)</f>
        <v>-</v>
      </c>
      <c r="Q170" s="29" t="str">
        <f>VLOOKUP($D170,Lists!$J$1:$AB$29,12,FALSE)</f>
        <v>-</v>
      </c>
      <c r="R170" s="29" t="str">
        <f>VLOOKUP($D170,Lists!$J$1:$AB$29,13,FALSE)</f>
        <v>-</v>
      </c>
      <c r="S170" s="29" t="str">
        <f>VLOOKUP($D170,Lists!$J$1:$AB$29,14,FALSE)</f>
        <v>-</v>
      </c>
      <c r="T170" s="29" t="str">
        <f>VLOOKUP($D170,Lists!$J$1:$AB$29,15,FALSE)</f>
        <v>-</v>
      </c>
      <c r="U170" s="29" t="str">
        <f>VLOOKUP($D170,Lists!$J$1:$AB$29,16,FALSE)</f>
        <v>-</v>
      </c>
      <c r="V170" s="29" t="str">
        <f>VLOOKUP($D170,Lists!$J$1:$AB$29,17,FALSE)</f>
        <v>-</v>
      </c>
      <c r="W170" s="29" t="str">
        <f>VLOOKUP($D170,Lists!$J$1:$AB$29,18,FALSE)</f>
        <v>-</v>
      </c>
      <c r="X170" s="29" t="str">
        <f>VLOOKUP($D170,Lists!$J$1:$AB$29,19,FALSE)</f>
        <v>-</v>
      </c>
      <c r="Y170" s="29" t="str">
        <f>VLOOKUP($D170,Lists!$J$1:$AC$29,20,FALSE)</f>
        <v>-</v>
      </c>
      <c r="Z170" s="32" t="s">
        <v>141</v>
      </c>
    </row>
    <row r="171" spans="1:26" x14ac:dyDescent="0.25">
      <c r="A171" t="s">
        <v>81</v>
      </c>
      <c r="B171" t="s">
        <v>62</v>
      </c>
      <c r="C171" s="16" t="str">
        <f>A171&amp;B171</f>
        <v>WindflowersOrange 4</v>
      </c>
      <c r="D171" s="8">
        <v>132</v>
      </c>
      <c r="E171" s="16" t="str">
        <f>A171&amp;D171</f>
        <v>Windflowers132</v>
      </c>
      <c r="F171" s="29" t="str">
        <f>VLOOKUP($D171,Lists!$J$1:$AB$29,2,FALSE)</f>
        <v>rr-YY-Ss</v>
      </c>
      <c r="G171" t="s">
        <v>97</v>
      </c>
      <c r="H171" s="29" t="str">
        <f>VLOOKUP($D171,Lists!$J$1:$AB$29,3,FALSE)</f>
        <v>S</v>
      </c>
      <c r="I171" s="29">
        <f>VLOOKUP($D171,Lists!$J$1:$AB$29,4,FALSE)</f>
        <v>2</v>
      </c>
      <c r="J171" s="29" t="str">
        <f>VLOOKUP($D171,Lists!$J$1:$AB$29,5,FALSE)</f>
        <v>rYs</v>
      </c>
      <c r="K171" s="29">
        <f>VLOOKUP($D171,Lists!$J$1:$AB$29,6,FALSE)</f>
        <v>121</v>
      </c>
      <c r="L171" s="29" t="str">
        <f>VLOOKUP($D171,Lists!$J$1:$AB$29,7,FALSE)</f>
        <v>rYS</v>
      </c>
      <c r="M171" s="29">
        <f>VLOOKUP($D171,Lists!$J$1:$AB$29,8,FALSE)</f>
        <v>122</v>
      </c>
      <c r="N171" s="29" t="str">
        <f>VLOOKUP($D171,Lists!$J$1:$AB$29,9,FALSE)</f>
        <v>-</v>
      </c>
      <c r="O171" s="29" t="str">
        <f>VLOOKUP($D171,Lists!$J$1:$AB$29,10,FALSE)</f>
        <v>-</v>
      </c>
      <c r="P171" s="29" t="str">
        <f>VLOOKUP($D171,Lists!$J$1:$AB$29,11,FALSE)</f>
        <v>-</v>
      </c>
      <c r="Q171" s="29" t="str">
        <f>VLOOKUP($D171,Lists!$J$1:$AB$29,12,FALSE)</f>
        <v>-</v>
      </c>
      <c r="R171" s="29" t="str">
        <f>VLOOKUP($D171,Lists!$J$1:$AB$29,13,FALSE)</f>
        <v>-</v>
      </c>
      <c r="S171" s="29" t="str">
        <f>VLOOKUP($D171,Lists!$J$1:$AB$29,14,FALSE)</f>
        <v>-</v>
      </c>
      <c r="T171" s="29" t="str">
        <f>VLOOKUP($D171,Lists!$J$1:$AB$29,15,FALSE)</f>
        <v>-</v>
      </c>
      <c r="U171" s="29" t="str">
        <f>VLOOKUP($D171,Lists!$J$1:$AB$29,16,FALSE)</f>
        <v>-</v>
      </c>
      <c r="V171" s="29" t="str">
        <f>VLOOKUP($D171,Lists!$J$1:$AB$29,17,FALSE)</f>
        <v>-</v>
      </c>
      <c r="W171" s="29" t="str">
        <f>VLOOKUP($D171,Lists!$J$1:$AB$29,18,FALSE)</f>
        <v>-</v>
      </c>
      <c r="X171" s="29" t="str">
        <f>VLOOKUP($D171,Lists!$J$1:$AB$29,19,FALSE)</f>
        <v>-</v>
      </c>
      <c r="Y171" s="29" t="str">
        <f>VLOOKUP($D171,Lists!$J$1:$AC$29,20,FALSE)</f>
        <v>-</v>
      </c>
      <c r="Z171" s="32" t="str">
        <f t="shared" si="2"/>
        <v>4</v>
      </c>
    </row>
    <row r="172" spans="1:26" x14ac:dyDescent="0.25">
      <c r="A172" t="s">
        <v>81</v>
      </c>
      <c r="B172" t="s">
        <v>61</v>
      </c>
      <c r="C172" s="16" t="str">
        <f>A172&amp;B172</f>
        <v>WindflowersOrange 5</v>
      </c>
      <c r="D172" s="8">
        <v>133</v>
      </c>
      <c r="E172" s="16" t="str">
        <f>A172&amp;D172</f>
        <v>Windflowers133</v>
      </c>
      <c r="F172" s="29" t="str">
        <f>VLOOKUP($D172,Lists!$J$1:$AB$29,2,FALSE)</f>
        <v>rr-YY-SS</v>
      </c>
      <c r="G172" t="s">
        <v>97</v>
      </c>
      <c r="H172" s="29" t="str">
        <f>VLOOKUP($D172,Lists!$J$1:$AB$29,3,FALSE)</f>
        <v>-</v>
      </c>
      <c r="I172" s="29">
        <f>VLOOKUP($D172,Lists!$J$1:$AB$29,4,FALSE)</f>
        <v>1</v>
      </c>
      <c r="J172" s="29" t="str">
        <f>VLOOKUP($D172,Lists!$J$1:$AB$29,5,FALSE)</f>
        <v>rYS</v>
      </c>
      <c r="K172" s="29">
        <f>VLOOKUP($D172,Lists!$J$1:$AB$29,6,FALSE)</f>
        <v>122</v>
      </c>
      <c r="L172" s="29" t="str">
        <f>VLOOKUP($D172,Lists!$J$1:$AB$29,7,FALSE)</f>
        <v>-</v>
      </c>
      <c r="M172" s="29" t="str">
        <f>VLOOKUP($D172,Lists!$J$1:$AB$29,8,FALSE)</f>
        <v>-</v>
      </c>
      <c r="N172" s="29" t="str">
        <f>VLOOKUP($D172,Lists!$J$1:$AB$29,9,FALSE)</f>
        <v>-</v>
      </c>
      <c r="O172" s="29" t="str">
        <f>VLOOKUP($D172,Lists!$J$1:$AB$29,10,FALSE)</f>
        <v>-</v>
      </c>
      <c r="P172" s="29" t="str">
        <f>VLOOKUP($D172,Lists!$J$1:$AB$29,11,FALSE)</f>
        <v>-</v>
      </c>
      <c r="Q172" s="29" t="str">
        <f>VLOOKUP($D172,Lists!$J$1:$AB$29,12,FALSE)</f>
        <v>-</v>
      </c>
      <c r="R172" s="29" t="str">
        <f>VLOOKUP($D172,Lists!$J$1:$AB$29,13,FALSE)</f>
        <v>-</v>
      </c>
      <c r="S172" s="29" t="str">
        <f>VLOOKUP($D172,Lists!$J$1:$AB$29,14,FALSE)</f>
        <v>-</v>
      </c>
      <c r="T172" s="29" t="str">
        <f>VLOOKUP($D172,Lists!$J$1:$AB$29,15,FALSE)</f>
        <v>-</v>
      </c>
      <c r="U172" s="29" t="str">
        <f>VLOOKUP($D172,Lists!$J$1:$AB$29,16,FALSE)</f>
        <v>-</v>
      </c>
      <c r="V172" s="29" t="str">
        <f>VLOOKUP($D172,Lists!$J$1:$AB$29,17,FALSE)</f>
        <v>-</v>
      </c>
      <c r="W172" s="29" t="str">
        <f>VLOOKUP($D172,Lists!$J$1:$AB$29,18,FALSE)</f>
        <v>-</v>
      </c>
      <c r="X172" s="29" t="str">
        <f>VLOOKUP($D172,Lists!$J$1:$AB$29,19,FALSE)</f>
        <v>-</v>
      </c>
      <c r="Y172" s="29" t="str">
        <f>VLOOKUP($D172,Lists!$J$1:$AC$29,20,FALSE)</f>
        <v>-</v>
      </c>
      <c r="Z172" s="32" t="str">
        <f t="shared" si="2"/>
        <v>5</v>
      </c>
    </row>
    <row r="173" spans="1:26" x14ac:dyDescent="0.25">
      <c r="A173" t="s">
        <v>81</v>
      </c>
      <c r="B173" t="s">
        <v>87</v>
      </c>
      <c r="C173" s="16" t="str">
        <f>A173&amp;B173</f>
        <v>WindflowersRed 2</v>
      </c>
      <c r="D173" s="8">
        <v>211</v>
      </c>
      <c r="E173" s="16" t="str">
        <f>A173&amp;D173</f>
        <v>Windflowers211</v>
      </c>
      <c r="F173" s="29" t="str">
        <f>VLOOKUP($D173,Lists!$J$1:$AB$29,2,FALSE)</f>
        <v>Rr-yy-ss</v>
      </c>
      <c r="G173" t="s">
        <v>94</v>
      </c>
      <c r="H173" s="29" t="str">
        <f>VLOOKUP($D173,Lists!$J$1:$AB$29,3,FALSE)</f>
        <v>R</v>
      </c>
      <c r="I173" s="29">
        <f>VLOOKUP($D173,Lists!$J$1:$AB$29,4,FALSE)</f>
        <v>2</v>
      </c>
      <c r="J173" s="29" t="str">
        <f>VLOOKUP($D173,Lists!$J$1:$AB$29,5,FALSE)</f>
        <v>Rys</v>
      </c>
      <c r="K173" s="29">
        <f>VLOOKUP($D173,Lists!$J$1:$AB$29,6,FALSE)</f>
        <v>211</v>
      </c>
      <c r="L173" s="29" t="str">
        <f>VLOOKUP($D173,Lists!$J$1:$AB$29,7,FALSE)</f>
        <v xml:space="preserve">rys </v>
      </c>
      <c r="M173" s="29">
        <f>VLOOKUP($D173,Lists!$J$1:$AB$29,8,FALSE)</f>
        <v>111</v>
      </c>
      <c r="N173" s="29" t="str">
        <f>VLOOKUP($D173,Lists!$J$1:$AB$29,9,FALSE)</f>
        <v>-</v>
      </c>
      <c r="O173" s="29" t="str">
        <f>VLOOKUP($D173,Lists!$J$1:$AB$29,10,FALSE)</f>
        <v>-</v>
      </c>
      <c r="P173" s="29" t="str">
        <f>VLOOKUP($D173,Lists!$J$1:$AB$29,11,FALSE)</f>
        <v>-</v>
      </c>
      <c r="Q173" s="29" t="str">
        <f>VLOOKUP($D173,Lists!$J$1:$AB$29,12,FALSE)</f>
        <v>-</v>
      </c>
      <c r="R173" s="29" t="str">
        <f>VLOOKUP($D173,Lists!$J$1:$AB$29,13,FALSE)</f>
        <v>-</v>
      </c>
      <c r="S173" s="29" t="str">
        <f>VLOOKUP($D173,Lists!$J$1:$AB$29,14,FALSE)</f>
        <v>-</v>
      </c>
      <c r="T173" s="29" t="str">
        <f>VLOOKUP($D173,Lists!$J$1:$AB$29,15,FALSE)</f>
        <v>-</v>
      </c>
      <c r="U173" s="29" t="str">
        <f>VLOOKUP($D173,Lists!$J$1:$AB$29,16,FALSE)</f>
        <v>-</v>
      </c>
      <c r="V173" s="29" t="str">
        <f>VLOOKUP($D173,Lists!$J$1:$AB$29,17,FALSE)</f>
        <v>-</v>
      </c>
      <c r="W173" s="29" t="str">
        <f>VLOOKUP($D173,Lists!$J$1:$AB$29,18,FALSE)</f>
        <v>-</v>
      </c>
      <c r="X173" s="29" t="str">
        <f>VLOOKUP($D173,Lists!$J$1:$AB$29,19,FALSE)</f>
        <v>-</v>
      </c>
      <c r="Y173" s="29" t="str">
        <f>VLOOKUP($D173,Lists!$J$1:$AC$29,20,FALSE)</f>
        <v>-</v>
      </c>
      <c r="Z173" s="32" t="str">
        <f t="shared" si="2"/>
        <v>2</v>
      </c>
    </row>
    <row r="174" spans="1:26" x14ac:dyDescent="0.25">
      <c r="A174" t="s">
        <v>81</v>
      </c>
      <c r="B174" t="s">
        <v>58</v>
      </c>
      <c r="C174" s="16" t="str">
        <f>A174&amp;B174</f>
        <v>WindflowersRed 3</v>
      </c>
      <c r="D174" s="8">
        <v>212</v>
      </c>
      <c r="E174" s="16" t="str">
        <f>A174&amp;D174</f>
        <v>Windflowers212</v>
      </c>
      <c r="F174" s="29" t="str">
        <f>VLOOKUP($D174,Lists!$J$1:$AB$29,2,FALSE)</f>
        <v>Rr-yy-Ss</v>
      </c>
      <c r="G174" t="s">
        <v>94</v>
      </c>
      <c r="H174" s="29" t="str">
        <f>VLOOKUP($D174,Lists!$J$1:$AB$29,3,FALSE)</f>
        <v>RS</v>
      </c>
      <c r="I174" s="29">
        <f>VLOOKUP($D174,Lists!$J$1:$AB$29,4,FALSE)</f>
        <v>4</v>
      </c>
      <c r="J174" s="29" t="str">
        <f>VLOOKUP($D174,Lists!$J$1:$AB$29,5,FALSE)</f>
        <v>RyS</v>
      </c>
      <c r="K174" s="29">
        <f>VLOOKUP($D174,Lists!$J$1:$AB$29,6,FALSE)</f>
        <v>212</v>
      </c>
      <c r="L174" s="29" t="str">
        <f>VLOOKUP($D174,Lists!$J$1:$AB$29,7,FALSE)</f>
        <v>Rys</v>
      </c>
      <c r="M174" s="29">
        <f>VLOOKUP($D174,Lists!$J$1:$AB$29,8,FALSE)</f>
        <v>211</v>
      </c>
      <c r="N174" s="29" t="str">
        <f>VLOOKUP($D174,Lists!$J$1:$AB$29,9,FALSE)</f>
        <v>ryS</v>
      </c>
      <c r="O174" s="29">
        <f>VLOOKUP($D174,Lists!$J$1:$AB$29,10,FALSE)</f>
        <v>112</v>
      </c>
      <c r="P174" s="29" t="str">
        <f>VLOOKUP($D174,Lists!$J$1:$AB$29,11,FALSE)</f>
        <v>rys</v>
      </c>
      <c r="Q174" s="29">
        <f>VLOOKUP($D174,Lists!$J$1:$AB$29,12,FALSE)</f>
        <v>111</v>
      </c>
      <c r="R174" s="29" t="str">
        <f>VLOOKUP($D174,Lists!$J$1:$AB$29,13,FALSE)</f>
        <v>-</v>
      </c>
      <c r="S174" s="29" t="str">
        <f>VLOOKUP($D174,Lists!$J$1:$AB$29,14,FALSE)</f>
        <v>-</v>
      </c>
      <c r="T174" s="29" t="str">
        <f>VLOOKUP($D174,Lists!$J$1:$AB$29,15,FALSE)</f>
        <v>-</v>
      </c>
      <c r="U174" s="29" t="str">
        <f>VLOOKUP($D174,Lists!$J$1:$AB$29,16,FALSE)</f>
        <v>-</v>
      </c>
      <c r="V174" s="29" t="str">
        <f>VLOOKUP($D174,Lists!$J$1:$AB$29,17,FALSE)</f>
        <v>-</v>
      </c>
      <c r="W174" s="29" t="str">
        <f>VLOOKUP($D174,Lists!$J$1:$AB$29,18,FALSE)</f>
        <v>-</v>
      </c>
      <c r="X174" s="29" t="str">
        <f>VLOOKUP($D174,Lists!$J$1:$AB$29,19,FALSE)</f>
        <v>-</v>
      </c>
      <c r="Y174" s="29" t="str">
        <f>VLOOKUP($D174,Lists!$J$1:$AC$29,20,FALSE)</f>
        <v>-</v>
      </c>
      <c r="Z174" s="32" t="str">
        <f t="shared" si="2"/>
        <v>3</v>
      </c>
    </row>
    <row r="175" spans="1:26" x14ac:dyDescent="0.25">
      <c r="A175" t="s">
        <v>81</v>
      </c>
      <c r="B175" t="s">
        <v>105</v>
      </c>
      <c r="C175" s="16" t="str">
        <f>A175&amp;B175</f>
        <v>WindflowersBlue 3</v>
      </c>
      <c r="D175" s="8">
        <v>213</v>
      </c>
      <c r="E175" s="16" t="str">
        <f>A175&amp;D175</f>
        <v>Windflowers213</v>
      </c>
      <c r="F175" s="29" t="str">
        <f>VLOOKUP($D175,Lists!$J$1:$AB$29,2,FALSE)</f>
        <v>Rr-yy-SS</v>
      </c>
      <c r="G175" t="s">
        <v>111</v>
      </c>
      <c r="H175" s="29" t="str">
        <f>VLOOKUP($D175,Lists!$J$1:$AB$29,3,FALSE)</f>
        <v>R</v>
      </c>
      <c r="I175" s="29">
        <f>VLOOKUP($D175,Lists!$J$1:$AB$29,4,FALSE)</f>
        <v>2</v>
      </c>
      <c r="J175" s="29" t="str">
        <f>VLOOKUP($D175,Lists!$J$1:$AB$29,5,FALSE)</f>
        <v>RyS</v>
      </c>
      <c r="K175" s="29">
        <f>VLOOKUP($D175,Lists!$J$1:$AB$29,6,FALSE)</f>
        <v>212</v>
      </c>
      <c r="L175" s="29" t="str">
        <f>VLOOKUP($D175,Lists!$J$1:$AB$29,7,FALSE)</f>
        <v>ryS</v>
      </c>
      <c r="M175" s="29">
        <f>VLOOKUP($D175,Lists!$J$1:$AB$29,8,FALSE)</f>
        <v>112</v>
      </c>
      <c r="N175" s="29" t="str">
        <f>VLOOKUP($D175,Lists!$J$1:$AB$29,9,FALSE)</f>
        <v>-</v>
      </c>
      <c r="O175" s="29" t="str">
        <f>VLOOKUP($D175,Lists!$J$1:$AB$29,10,FALSE)</f>
        <v>-</v>
      </c>
      <c r="P175" s="29" t="str">
        <f>VLOOKUP($D175,Lists!$J$1:$AB$29,11,FALSE)</f>
        <v>-</v>
      </c>
      <c r="Q175" s="29" t="str">
        <f>VLOOKUP($D175,Lists!$J$1:$AB$29,12,FALSE)</f>
        <v>-</v>
      </c>
      <c r="R175" s="29" t="str">
        <f>VLOOKUP($D175,Lists!$J$1:$AB$29,13,FALSE)</f>
        <v>-</v>
      </c>
      <c r="S175" s="29" t="str">
        <f>VLOOKUP($D175,Lists!$J$1:$AB$29,14,FALSE)</f>
        <v>-</v>
      </c>
      <c r="T175" s="29" t="str">
        <f>VLOOKUP($D175,Lists!$J$1:$AB$29,15,FALSE)</f>
        <v>-</v>
      </c>
      <c r="U175" s="29" t="str">
        <f>VLOOKUP($D175,Lists!$J$1:$AB$29,16,FALSE)</f>
        <v>-</v>
      </c>
      <c r="V175" s="29" t="str">
        <f>VLOOKUP($D175,Lists!$J$1:$AB$29,17,FALSE)</f>
        <v>-</v>
      </c>
      <c r="W175" s="29" t="str">
        <f>VLOOKUP($D175,Lists!$J$1:$AB$29,18,FALSE)</f>
        <v>-</v>
      </c>
      <c r="X175" s="29" t="str">
        <f>VLOOKUP($D175,Lists!$J$1:$AB$29,19,FALSE)</f>
        <v>-</v>
      </c>
      <c r="Y175" s="29" t="str">
        <f>VLOOKUP($D175,Lists!$J$1:$AC$29,20,FALSE)</f>
        <v>-</v>
      </c>
      <c r="Z175" s="32" t="str">
        <f t="shared" si="2"/>
        <v>3</v>
      </c>
    </row>
    <row r="176" spans="1:26" x14ac:dyDescent="0.25">
      <c r="A176" t="s">
        <v>81</v>
      </c>
      <c r="B176" t="s">
        <v>16</v>
      </c>
      <c r="C176" s="16" t="str">
        <f>A176&amp;B176</f>
        <v>WindflowersPink 1</v>
      </c>
      <c r="D176" s="8">
        <v>221</v>
      </c>
      <c r="E176" s="16" t="str">
        <f>A176&amp;D176</f>
        <v>Windflowers221</v>
      </c>
      <c r="F176" s="29" t="str">
        <f>VLOOKUP($D176,Lists!$J$1:$AB$29,2,FALSE)</f>
        <v>Rr-Yy-ss</v>
      </c>
      <c r="G176" t="s">
        <v>98</v>
      </c>
      <c r="H176" s="29" t="str">
        <f>VLOOKUP($D176,Lists!$J$1:$AB$29,3,FALSE)</f>
        <v>RY</v>
      </c>
      <c r="I176" s="29">
        <f>VLOOKUP($D176,Lists!$J$1:$AB$29,4,FALSE)</f>
        <v>4</v>
      </c>
      <c r="J176" s="29" t="str">
        <f>VLOOKUP($D176,Lists!$J$1:$AB$29,5,FALSE)</f>
        <v>RYs</v>
      </c>
      <c r="K176" s="29">
        <f>VLOOKUP($D176,Lists!$J$1:$AB$29,6,FALSE)</f>
        <v>221</v>
      </c>
      <c r="L176" s="29" t="str">
        <f>VLOOKUP($D176,Lists!$J$1:$AB$29,7,FALSE)</f>
        <v>Rys</v>
      </c>
      <c r="M176" s="29">
        <f>VLOOKUP($D176,Lists!$J$1:$AB$29,8,FALSE)</f>
        <v>211</v>
      </c>
      <c r="N176" s="29" t="str">
        <f>VLOOKUP($D176,Lists!$J$1:$AB$29,9,FALSE)</f>
        <v>rYs</v>
      </c>
      <c r="O176" s="29">
        <f>VLOOKUP($D176,Lists!$J$1:$AB$29,10,FALSE)</f>
        <v>121</v>
      </c>
      <c r="P176" s="29" t="str">
        <f>VLOOKUP($D176,Lists!$J$1:$AB$29,11,FALSE)</f>
        <v>rys</v>
      </c>
      <c r="Q176" s="29">
        <f>VLOOKUP($D176,Lists!$J$1:$AB$29,12,FALSE)</f>
        <v>111</v>
      </c>
      <c r="R176" s="29" t="str">
        <f>VLOOKUP($D176,Lists!$J$1:$AB$29,13,FALSE)</f>
        <v>-</v>
      </c>
      <c r="S176" s="29" t="str">
        <f>VLOOKUP($D176,Lists!$J$1:$AB$29,14,FALSE)</f>
        <v>-</v>
      </c>
      <c r="T176" s="29" t="str">
        <f>VLOOKUP($D176,Lists!$J$1:$AB$29,15,FALSE)</f>
        <v>-</v>
      </c>
      <c r="U176" s="29" t="str">
        <f>VLOOKUP($D176,Lists!$J$1:$AB$29,16,FALSE)</f>
        <v>-</v>
      </c>
      <c r="V176" s="29" t="str">
        <f>VLOOKUP($D176,Lists!$J$1:$AB$29,17,FALSE)</f>
        <v>-</v>
      </c>
      <c r="W176" s="29" t="str">
        <f>VLOOKUP($D176,Lists!$J$1:$AB$29,18,FALSE)</f>
        <v>-</v>
      </c>
      <c r="X176" s="29" t="str">
        <f>VLOOKUP($D176,Lists!$J$1:$AB$29,19,FALSE)</f>
        <v>-</v>
      </c>
      <c r="Y176" s="29" t="str">
        <f>VLOOKUP($D176,Lists!$J$1:$AC$29,20,FALSE)</f>
        <v>-</v>
      </c>
      <c r="Z176" s="32" t="str">
        <f t="shared" si="2"/>
        <v>1</v>
      </c>
    </row>
    <row r="177" spans="1:26" x14ac:dyDescent="0.25">
      <c r="A177" t="s">
        <v>81</v>
      </c>
      <c r="B177" t="s">
        <v>17</v>
      </c>
      <c r="C177" s="16" t="str">
        <f>A177&amp;B177</f>
        <v>WindflowersPink 2</v>
      </c>
      <c r="D177" s="8">
        <v>222</v>
      </c>
      <c r="E177" s="16" t="str">
        <f>A177&amp;D177</f>
        <v>Windflowers222</v>
      </c>
      <c r="F177" s="29" t="str">
        <f>VLOOKUP($D177,Lists!$J$1:$AB$29,2,FALSE)</f>
        <v>Rr-Yy-Ss</v>
      </c>
      <c r="G177" t="s">
        <v>98</v>
      </c>
      <c r="H177" s="29" t="str">
        <f>VLOOKUP($D177,Lists!$J$1:$AB$29,3,FALSE)</f>
        <v>RYS</v>
      </c>
      <c r="I177" s="29">
        <f>VLOOKUP($D177,Lists!$J$1:$AB$29,4,FALSE)</f>
        <v>8</v>
      </c>
      <c r="J177" s="29" t="str">
        <f>VLOOKUP($D177,Lists!$J$1:$AB$29,5,FALSE)</f>
        <v>RYS</v>
      </c>
      <c r="K177" s="29">
        <f>VLOOKUP($D177,Lists!$J$1:$AB$29,6,FALSE)</f>
        <v>222</v>
      </c>
      <c r="L177" s="29" t="str">
        <f>VLOOKUP($D177,Lists!$J$1:$AB$29,7,FALSE)</f>
        <v>RyS</v>
      </c>
      <c r="M177" s="29">
        <f>VLOOKUP($D177,Lists!$J$1:$AB$29,8,FALSE)</f>
        <v>212</v>
      </c>
      <c r="N177" s="29" t="str">
        <f>VLOOKUP($D177,Lists!$J$1:$AB$29,9,FALSE)</f>
        <v>RYs</v>
      </c>
      <c r="O177" s="29">
        <f>VLOOKUP($D177,Lists!$J$1:$AB$29,10,FALSE)</f>
        <v>221</v>
      </c>
      <c r="P177" s="29" t="str">
        <f>VLOOKUP($D177,Lists!$J$1:$AB$29,11,FALSE)</f>
        <v>Rys</v>
      </c>
      <c r="Q177" s="29">
        <f>VLOOKUP($D177,Lists!$J$1:$AB$29,12,FALSE)</f>
        <v>211</v>
      </c>
      <c r="R177" s="29" t="str">
        <f>VLOOKUP($D177,Lists!$J$1:$AB$29,13,FALSE)</f>
        <v>rYS</v>
      </c>
      <c r="S177" s="29">
        <f>VLOOKUP($D177,Lists!$J$1:$AB$29,14,FALSE)</f>
        <v>122</v>
      </c>
      <c r="T177" s="29" t="str">
        <f>VLOOKUP($D177,Lists!$J$1:$AB$29,15,FALSE)</f>
        <v>ryS</v>
      </c>
      <c r="U177" s="29">
        <f>VLOOKUP($D177,Lists!$J$1:$AB$29,16,FALSE)</f>
        <v>112</v>
      </c>
      <c r="V177" s="29" t="str">
        <f>VLOOKUP($D177,Lists!$J$1:$AB$29,17,FALSE)</f>
        <v>rYs</v>
      </c>
      <c r="W177" s="29">
        <f>VLOOKUP($D177,Lists!$J$1:$AB$29,18,FALSE)</f>
        <v>121</v>
      </c>
      <c r="X177" s="29" t="str">
        <f>VLOOKUP($D177,Lists!$J$1:$AB$29,19,FALSE)</f>
        <v>rys</v>
      </c>
      <c r="Y177" s="29">
        <f>VLOOKUP($D177,Lists!$J$1:$AC$29,20,FALSE)</f>
        <v>111</v>
      </c>
      <c r="Z177" s="32" t="str">
        <f t="shared" si="2"/>
        <v>2</v>
      </c>
    </row>
    <row r="178" spans="1:26" x14ac:dyDescent="0.25">
      <c r="A178" t="s">
        <v>81</v>
      </c>
      <c r="B178" t="s">
        <v>55</v>
      </c>
      <c r="C178" s="16" t="str">
        <f>A178&amp;B178</f>
        <v>WindflowersPink 3</v>
      </c>
      <c r="D178" s="8">
        <v>223</v>
      </c>
      <c r="E178" s="16" t="str">
        <f>A178&amp;D178</f>
        <v>Windflowers223</v>
      </c>
      <c r="F178" s="29" t="str">
        <f>VLOOKUP($D178,Lists!$J$1:$AB$29,2,FALSE)</f>
        <v>Rr-Yy-SS</v>
      </c>
      <c r="G178" t="s">
        <v>98</v>
      </c>
      <c r="H178" s="29" t="str">
        <f>VLOOKUP($D178,Lists!$J$1:$AB$29,3,FALSE)</f>
        <v>RY</v>
      </c>
      <c r="I178" s="29">
        <f>VLOOKUP($D178,Lists!$J$1:$AB$29,4,FALSE)</f>
        <v>4</v>
      </c>
      <c r="J178" s="29" t="str">
        <f>VLOOKUP($D178,Lists!$J$1:$AB$29,5,FALSE)</f>
        <v>RYS</v>
      </c>
      <c r="K178" s="29">
        <f>VLOOKUP($D178,Lists!$J$1:$AB$29,6,FALSE)</f>
        <v>222</v>
      </c>
      <c r="L178" s="29" t="str">
        <f>VLOOKUP($D178,Lists!$J$1:$AB$29,7,FALSE)</f>
        <v>RyS</v>
      </c>
      <c r="M178" s="29">
        <f>VLOOKUP($D178,Lists!$J$1:$AB$29,8,FALSE)</f>
        <v>212</v>
      </c>
      <c r="N178" s="29" t="str">
        <f>VLOOKUP($D178,Lists!$J$1:$AB$29,9,FALSE)</f>
        <v>rYS</v>
      </c>
      <c r="O178" s="29">
        <f>VLOOKUP($D178,Lists!$J$1:$AB$29,10,FALSE)</f>
        <v>122</v>
      </c>
      <c r="P178" s="29" t="str">
        <f>VLOOKUP($D178,Lists!$J$1:$AB$29,11,FALSE)</f>
        <v>ryS</v>
      </c>
      <c r="Q178" s="29">
        <f>VLOOKUP($D178,Lists!$J$1:$AB$29,12,FALSE)</f>
        <v>112</v>
      </c>
      <c r="R178" s="29" t="str">
        <f>VLOOKUP($D178,Lists!$J$1:$AB$29,13,FALSE)</f>
        <v>-</v>
      </c>
      <c r="S178" s="29" t="str">
        <f>VLOOKUP($D178,Lists!$J$1:$AB$29,14,FALSE)</f>
        <v>-</v>
      </c>
      <c r="T178" s="29" t="str">
        <f>VLOOKUP($D178,Lists!$J$1:$AB$29,15,FALSE)</f>
        <v>-</v>
      </c>
      <c r="U178" s="29" t="str">
        <f>VLOOKUP($D178,Lists!$J$1:$AB$29,16,FALSE)</f>
        <v>-</v>
      </c>
      <c r="V178" s="29" t="str">
        <f>VLOOKUP($D178,Lists!$J$1:$AB$29,17,FALSE)</f>
        <v>-</v>
      </c>
      <c r="W178" s="29" t="str">
        <f>VLOOKUP($D178,Lists!$J$1:$AB$29,18,FALSE)</f>
        <v>-</v>
      </c>
      <c r="X178" s="29" t="str">
        <f>VLOOKUP($D178,Lists!$J$1:$AB$29,19,FALSE)</f>
        <v>-</v>
      </c>
      <c r="Y178" s="29" t="str">
        <f>VLOOKUP($D178,Lists!$J$1:$AC$29,20,FALSE)</f>
        <v>-</v>
      </c>
      <c r="Z178" s="32" t="str">
        <f t="shared" si="2"/>
        <v>3</v>
      </c>
    </row>
    <row r="179" spans="1:26" x14ac:dyDescent="0.25">
      <c r="A179" t="s">
        <v>81</v>
      </c>
      <c r="B179" t="s">
        <v>73</v>
      </c>
      <c r="C179" s="16" t="str">
        <f>A179&amp;B179</f>
        <v>WindflowersOrange 6</v>
      </c>
      <c r="D179" s="8">
        <v>231</v>
      </c>
      <c r="E179" s="16" t="str">
        <f>A179&amp;D179</f>
        <v>Windflowers231</v>
      </c>
      <c r="F179" s="29" t="str">
        <f>VLOOKUP($D179,Lists!$J$1:$AB$29,2,FALSE)</f>
        <v>Rr-YY-ss</v>
      </c>
      <c r="G179" t="s">
        <v>97</v>
      </c>
      <c r="H179" s="29" t="str">
        <f>VLOOKUP($D179,Lists!$J$1:$AB$29,3,FALSE)</f>
        <v>R</v>
      </c>
      <c r="I179" s="29">
        <f>VLOOKUP($D179,Lists!$J$1:$AB$29,4,FALSE)</f>
        <v>2</v>
      </c>
      <c r="J179" s="29" t="str">
        <f>VLOOKUP($D179,Lists!$J$1:$AB$29,5,FALSE)</f>
        <v>Rys</v>
      </c>
      <c r="K179" s="29">
        <f>VLOOKUP($D179,Lists!$J$1:$AB$29,6,FALSE)</f>
        <v>211</v>
      </c>
      <c r="L179" s="29" t="str">
        <f>VLOOKUP($D179,Lists!$J$1:$AB$29,7,FALSE)</f>
        <v>rYs</v>
      </c>
      <c r="M179" s="29">
        <f>VLOOKUP($D179,Lists!$J$1:$AB$29,8,FALSE)</f>
        <v>121</v>
      </c>
      <c r="N179" s="29" t="str">
        <f>VLOOKUP($D179,Lists!$J$1:$AB$29,9,FALSE)</f>
        <v>-</v>
      </c>
      <c r="O179" s="29" t="str">
        <f>VLOOKUP($D179,Lists!$J$1:$AB$29,10,FALSE)</f>
        <v>-</v>
      </c>
      <c r="P179" s="29" t="str">
        <f>VLOOKUP($D179,Lists!$J$1:$AB$29,11,FALSE)</f>
        <v>-</v>
      </c>
      <c r="Q179" s="29" t="str">
        <f>VLOOKUP($D179,Lists!$J$1:$AB$29,12,FALSE)</f>
        <v>-</v>
      </c>
      <c r="R179" s="29" t="str">
        <f>VLOOKUP($D179,Lists!$J$1:$AB$29,13,FALSE)</f>
        <v>-</v>
      </c>
      <c r="S179" s="29" t="str">
        <f>VLOOKUP($D179,Lists!$J$1:$AB$29,14,FALSE)</f>
        <v>-</v>
      </c>
      <c r="T179" s="29" t="str">
        <f>VLOOKUP($D179,Lists!$J$1:$AB$29,15,FALSE)</f>
        <v>-</v>
      </c>
      <c r="U179" s="29" t="str">
        <f>VLOOKUP($D179,Lists!$J$1:$AB$29,16,FALSE)</f>
        <v>-</v>
      </c>
      <c r="V179" s="29" t="str">
        <f>VLOOKUP($D179,Lists!$J$1:$AB$29,17,FALSE)</f>
        <v>-</v>
      </c>
      <c r="W179" s="29" t="str">
        <f>VLOOKUP($D179,Lists!$J$1:$AB$29,18,FALSE)</f>
        <v>-</v>
      </c>
      <c r="X179" s="29" t="str">
        <f>VLOOKUP($D179,Lists!$J$1:$AB$29,19,FALSE)</f>
        <v>-</v>
      </c>
      <c r="Y179" s="29" t="str">
        <f>VLOOKUP($D179,Lists!$J$1:$AC$29,20,FALSE)</f>
        <v>-</v>
      </c>
      <c r="Z179" s="32" t="str">
        <f t="shared" si="2"/>
        <v>6</v>
      </c>
    </row>
    <row r="180" spans="1:26" x14ac:dyDescent="0.25">
      <c r="A180" t="s">
        <v>81</v>
      </c>
      <c r="B180" t="s">
        <v>65</v>
      </c>
      <c r="C180" s="16" t="str">
        <f>A180&amp;B180</f>
        <v>WindflowersOrange 7</v>
      </c>
      <c r="D180" s="8">
        <v>232</v>
      </c>
      <c r="E180" s="16" t="str">
        <f>A180&amp;D180</f>
        <v>Windflowers232</v>
      </c>
      <c r="F180" s="29" t="str">
        <f>VLOOKUP($D180,Lists!$J$1:$AB$29,2,FALSE)</f>
        <v>Rr-YY-Ss</v>
      </c>
      <c r="G180" t="s">
        <v>97</v>
      </c>
      <c r="H180" s="29" t="str">
        <f>VLOOKUP($D180,Lists!$J$1:$AB$29,3,FALSE)</f>
        <v>RS</v>
      </c>
      <c r="I180" s="29">
        <f>VLOOKUP($D180,Lists!$J$1:$AB$29,4,FALSE)</f>
        <v>4</v>
      </c>
      <c r="J180" s="29" t="str">
        <f>VLOOKUP($D180,Lists!$J$1:$AB$29,5,FALSE)</f>
        <v>RYS</v>
      </c>
      <c r="K180" s="29">
        <f>VLOOKUP($D180,Lists!$J$1:$AB$29,6,FALSE)</f>
        <v>222</v>
      </c>
      <c r="L180" s="29" t="str">
        <f>VLOOKUP($D180,Lists!$J$1:$AB$29,7,FALSE)</f>
        <v>Rys</v>
      </c>
      <c r="M180" s="29">
        <f>VLOOKUP($D180,Lists!$J$1:$AB$29,8,FALSE)</f>
        <v>211</v>
      </c>
      <c r="N180" s="29" t="str">
        <f>VLOOKUP($D180,Lists!$J$1:$AB$29,9,FALSE)</f>
        <v>rYS</v>
      </c>
      <c r="O180" s="29">
        <f>VLOOKUP($D180,Lists!$J$1:$AB$29,10,FALSE)</f>
        <v>122</v>
      </c>
      <c r="P180" s="29" t="str">
        <f>VLOOKUP($D180,Lists!$J$1:$AB$29,11,FALSE)</f>
        <v>rYs</v>
      </c>
      <c r="Q180" s="29">
        <f>VLOOKUP($D180,Lists!$J$1:$AB$29,12,FALSE)</f>
        <v>121</v>
      </c>
      <c r="R180" s="29" t="str">
        <f>VLOOKUP($D180,Lists!$J$1:$AB$29,13,FALSE)</f>
        <v>-</v>
      </c>
      <c r="S180" s="29" t="str">
        <f>VLOOKUP($D180,Lists!$J$1:$AB$29,14,FALSE)</f>
        <v>-</v>
      </c>
      <c r="T180" s="29" t="str">
        <f>VLOOKUP($D180,Lists!$J$1:$AB$29,15,FALSE)</f>
        <v>-</v>
      </c>
      <c r="U180" s="29" t="str">
        <f>VLOOKUP($D180,Lists!$J$1:$AB$29,16,FALSE)</f>
        <v>-</v>
      </c>
      <c r="V180" s="29" t="str">
        <f>VLOOKUP($D180,Lists!$J$1:$AB$29,17,FALSE)</f>
        <v>-</v>
      </c>
      <c r="W180" s="29" t="str">
        <f>VLOOKUP($D180,Lists!$J$1:$AB$29,18,FALSE)</f>
        <v>-</v>
      </c>
      <c r="X180" s="29" t="str">
        <f>VLOOKUP($D180,Lists!$J$1:$AB$29,19,FALSE)</f>
        <v>-</v>
      </c>
      <c r="Y180" s="29" t="str">
        <f>VLOOKUP($D180,Lists!$J$1:$AC$29,20,FALSE)</f>
        <v>-</v>
      </c>
      <c r="Z180" s="32" t="str">
        <f t="shared" si="2"/>
        <v>7</v>
      </c>
    </row>
    <row r="181" spans="1:26" x14ac:dyDescent="0.25">
      <c r="A181" t="s">
        <v>81</v>
      </c>
      <c r="B181" t="s">
        <v>60</v>
      </c>
      <c r="C181" s="16" t="str">
        <f>A181&amp;B181</f>
        <v>WindflowersOrange 8</v>
      </c>
      <c r="D181" s="8">
        <v>233</v>
      </c>
      <c r="E181" s="16" t="str">
        <f>A181&amp;D181</f>
        <v>Windflowers233</v>
      </c>
      <c r="F181" s="29" t="str">
        <f>VLOOKUP($D181,Lists!$J$1:$AB$29,2,FALSE)</f>
        <v>Rr-YY-SS</v>
      </c>
      <c r="G181" t="s">
        <v>97</v>
      </c>
      <c r="H181" s="29" t="str">
        <f>VLOOKUP($D181,Lists!$J$1:$AB$29,3,FALSE)</f>
        <v>R</v>
      </c>
      <c r="I181" s="29">
        <f>VLOOKUP($D181,Lists!$J$1:$AB$29,4,FALSE)</f>
        <v>2</v>
      </c>
      <c r="J181" s="29" t="str">
        <f>VLOOKUP($D181,Lists!$J$1:$AB$29,5,FALSE)</f>
        <v>RYS</v>
      </c>
      <c r="K181" s="29">
        <f>VLOOKUP($D181,Lists!$J$1:$AB$29,6,FALSE)</f>
        <v>222</v>
      </c>
      <c r="L181" s="29" t="str">
        <f>VLOOKUP($D181,Lists!$J$1:$AB$29,7,FALSE)</f>
        <v>rYS</v>
      </c>
      <c r="M181" s="29">
        <f>VLOOKUP($D181,Lists!$J$1:$AB$29,8,FALSE)</f>
        <v>122</v>
      </c>
      <c r="N181" s="29" t="str">
        <f>VLOOKUP($D181,Lists!$J$1:$AB$29,9,FALSE)</f>
        <v>-</v>
      </c>
      <c r="O181" s="29" t="str">
        <f>VLOOKUP($D181,Lists!$J$1:$AB$29,10,FALSE)</f>
        <v>-</v>
      </c>
      <c r="P181" s="29" t="str">
        <f>VLOOKUP($D181,Lists!$J$1:$AB$29,11,FALSE)</f>
        <v>-</v>
      </c>
      <c r="Q181" s="29" t="str">
        <f>VLOOKUP($D181,Lists!$J$1:$AB$29,12,FALSE)</f>
        <v>-</v>
      </c>
      <c r="R181" s="29" t="str">
        <f>VLOOKUP($D181,Lists!$J$1:$AB$29,13,FALSE)</f>
        <v>-</v>
      </c>
      <c r="S181" s="29" t="str">
        <f>VLOOKUP($D181,Lists!$J$1:$AB$29,14,FALSE)</f>
        <v>-</v>
      </c>
      <c r="T181" s="29" t="str">
        <f>VLOOKUP($D181,Lists!$J$1:$AB$29,15,FALSE)</f>
        <v>-</v>
      </c>
      <c r="U181" s="29" t="str">
        <f>VLOOKUP($D181,Lists!$J$1:$AB$29,16,FALSE)</f>
        <v>-</v>
      </c>
      <c r="V181" s="29" t="str">
        <f>VLOOKUP($D181,Lists!$J$1:$AB$29,17,FALSE)</f>
        <v>-</v>
      </c>
      <c r="W181" s="29" t="str">
        <f>VLOOKUP($D181,Lists!$J$1:$AB$29,18,FALSE)</f>
        <v>-</v>
      </c>
      <c r="X181" s="29" t="str">
        <f>VLOOKUP($D181,Lists!$J$1:$AB$29,19,FALSE)</f>
        <v>-</v>
      </c>
      <c r="Y181" s="29" t="str">
        <f>VLOOKUP($D181,Lists!$J$1:$AC$29,20,FALSE)</f>
        <v>-</v>
      </c>
      <c r="Z181" s="32" t="str">
        <f t="shared" si="2"/>
        <v>8</v>
      </c>
    </row>
    <row r="182" spans="1:26" x14ac:dyDescent="0.25">
      <c r="A182" t="s">
        <v>81</v>
      </c>
      <c r="B182" t="s">
        <v>77</v>
      </c>
      <c r="C182" s="16" t="str">
        <f>A182&amp;B182</f>
        <v>WindflowersRed Seed</v>
      </c>
      <c r="D182" s="8">
        <v>311</v>
      </c>
      <c r="E182" s="16" t="str">
        <f>A182&amp;D182</f>
        <v>Windflowers311</v>
      </c>
      <c r="F182" s="29" t="str">
        <f>VLOOKUP($D182,Lists!$J$1:$AB$29,2,FALSE)</f>
        <v>RR-yy-ss</v>
      </c>
      <c r="G182" t="s">
        <v>94</v>
      </c>
      <c r="H182" s="29" t="str">
        <f>VLOOKUP($D182,Lists!$J$1:$AB$29,3,FALSE)</f>
        <v>-</v>
      </c>
      <c r="I182" s="29">
        <f>VLOOKUP($D182,Lists!$J$1:$AB$29,4,FALSE)</f>
        <v>1</v>
      </c>
      <c r="J182" s="29" t="str">
        <f>VLOOKUP($D182,Lists!$J$1:$AB$29,5,FALSE)</f>
        <v>Rys</v>
      </c>
      <c r="K182" s="29">
        <f>VLOOKUP($D182,Lists!$J$1:$AB$29,6,FALSE)</f>
        <v>211</v>
      </c>
      <c r="L182" s="29" t="str">
        <f>VLOOKUP($D182,Lists!$J$1:$AB$29,7,FALSE)</f>
        <v>-</v>
      </c>
      <c r="M182" s="29" t="str">
        <f>VLOOKUP($D182,Lists!$J$1:$AB$29,8,FALSE)</f>
        <v>-</v>
      </c>
      <c r="N182" s="29" t="str">
        <f>VLOOKUP($D182,Lists!$J$1:$AB$29,9,FALSE)</f>
        <v>-</v>
      </c>
      <c r="O182" s="29" t="str">
        <f>VLOOKUP($D182,Lists!$J$1:$AB$29,10,FALSE)</f>
        <v>-</v>
      </c>
      <c r="P182" s="29" t="str">
        <f>VLOOKUP($D182,Lists!$J$1:$AB$29,11,FALSE)</f>
        <v>-</v>
      </c>
      <c r="Q182" s="29" t="str">
        <f>VLOOKUP($D182,Lists!$J$1:$AB$29,12,FALSE)</f>
        <v>-</v>
      </c>
      <c r="R182" s="29" t="str">
        <f>VLOOKUP($D182,Lists!$J$1:$AB$29,13,FALSE)</f>
        <v>-</v>
      </c>
      <c r="S182" s="29" t="str">
        <f>VLOOKUP($D182,Lists!$J$1:$AB$29,14,FALSE)</f>
        <v>-</v>
      </c>
      <c r="T182" s="29" t="str">
        <f>VLOOKUP($D182,Lists!$J$1:$AB$29,15,FALSE)</f>
        <v>-</v>
      </c>
      <c r="U182" s="29" t="str">
        <f>VLOOKUP($D182,Lists!$J$1:$AB$29,16,FALSE)</f>
        <v>-</v>
      </c>
      <c r="V182" s="29" t="str">
        <f>VLOOKUP($D182,Lists!$J$1:$AB$29,17,FALSE)</f>
        <v>-</v>
      </c>
      <c r="W182" s="29" t="str">
        <f>VLOOKUP($D182,Lists!$J$1:$AB$29,18,FALSE)</f>
        <v>-</v>
      </c>
      <c r="X182" s="29" t="str">
        <f>VLOOKUP($D182,Lists!$J$1:$AB$29,19,FALSE)</f>
        <v>-</v>
      </c>
      <c r="Y182" s="29" t="str">
        <f>VLOOKUP($D182,Lists!$J$1:$AC$29,20,FALSE)</f>
        <v>-</v>
      </c>
      <c r="Z182" s="32" t="s">
        <v>141</v>
      </c>
    </row>
    <row r="183" spans="1:26" x14ac:dyDescent="0.25">
      <c r="A183" t="s">
        <v>81</v>
      </c>
      <c r="B183" t="s">
        <v>57</v>
      </c>
      <c r="C183" s="16" t="str">
        <f>A183&amp;B183</f>
        <v>WindflowersRed 4</v>
      </c>
      <c r="D183" s="8">
        <v>312</v>
      </c>
      <c r="E183" s="16" t="str">
        <f>A183&amp;D183</f>
        <v>Windflowers312</v>
      </c>
      <c r="F183" s="29" t="str">
        <f>VLOOKUP($D183,Lists!$J$1:$AB$29,2,FALSE)</f>
        <v>RR-yy-Ss</v>
      </c>
      <c r="G183" t="s">
        <v>94</v>
      </c>
      <c r="H183" s="29" t="str">
        <f>VLOOKUP($D183,Lists!$J$1:$AB$29,3,FALSE)</f>
        <v>S</v>
      </c>
      <c r="I183" s="29">
        <f>VLOOKUP($D183,Lists!$J$1:$AB$29,4,FALSE)</f>
        <v>2</v>
      </c>
      <c r="J183" s="29" t="str">
        <f>VLOOKUP($D183,Lists!$J$1:$AB$29,5,FALSE)</f>
        <v>RyS</v>
      </c>
      <c r="K183" s="29">
        <f>VLOOKUP($D183,Lists!$J$1:$AB$29,6,FALSE)</f>
        <v>212</v>
      </c>
      <c r="L183" s="29" t="str">
        <f>VLOOKUP($D183,Lists!$J$1:$AB$29,7,FALSE)</f>
        <v>Rys</v>
      </c>
      <c r="M183" s="29">
        <f>VLOOKUP($D183,Lists!$J$1:$AB$29,8,FALSE)</f>
        <v>211</v>
      </c>
      <c r="N183" s="29" t="str">
        <f>VLOOKUP($D183,Lists!$J$1:$AB$29,9,FALSE)</f>
        <v>-</v>
      </c>
      <c r="O183" s="29" t="str">
        <f>VLOOKUP($D183,Lists!$J$1:$AB$29,10,FALSE)</f>
        <v>-</v>
      </c>
      <c r="P183" s="29" t="str">
        <f>VLOOKUP($D183,Lists!$J$1:$AB$29,11,FALSE)</f>
        <v>-</v>
      </c>
      <c r="Q183" s="29" t="str">
        <f>VLOOKUP($D183,Lists!$J$1:$AB$29,12,FALSE)</f>
        <v>-</v>
      </c>
      <c r="R183" s="29" t="str">
        <f>VLOOKUP($D183,Lists!$J$1:$AB$29,13,FALSE)</f>
        <v>-</v>
      </c>
      <c r="S183" s="29" t="str">
        <f>VLOOKUP($D183,Lists!$J$1:$AB$29,14,FALSE)</f>
        <v>-</v>
      </c>
      <c r="T183" s="29" t="str">
        <f>VLOOKUP($D183,Lists!$J$1:$AB$29,15,FALSE)</f>
        <v>-</v>
      </c>
      <c r="U183" s="29" t="str">
        <f>VLOOKUP($D183,Lists!$J$1:$AB$29,16,FALSE)</f>
        <v>-</v>
      </c>
      <c r="V183" s="29" t="str">
        <f>VLOOKUP($D183,Lists!$J$1:$AB$29,17,FALSE)</f>
        <v>-</v>
      </c>
      <c r="W183" s="29" t="str">
        <f>VLOOKUP($D183,Lists!$J$1:$AB$29,18,FALSE)</f>
        <v>-</v>
      </c>
      <c r="X183" s="29" t="str">
        <f>VLOOKUP($D183,Lists!$J$1:$AB$29,19,FALSE)</f>
        <v>-</v>
      </c>
      <c r="Y183" s="29" t="str">
        <f>VLOOKUP($D183,Lists!$J$1:$AC$29,20,FALSE)</f>
        <v>-</v>
      </c>
      <c r="Z183" s="32" t="str">
        <f t="shared" si="2"/>
        <v>4</v>
      </c>
    </row>
    <row r="184" spans="1:26" x14ac:dyDescent="0.25">
      <c r="A184" t="s">
        <v>81</v>
      </c>
      <c r="B184" t="s">
        <v>106</v>
      </c>
      <c r="C184" s="16" t="str">
        <f>A184&amp;B184</f>
        <v>WindflowersPurple 1</v>
      </c>
      <c r="D184" s="8">
        <v>313</v>
      </c>
      <c r="E184" s="16" t="str">
        <f>A184&amp;D184</f>
        <v>Windflowers313</v>
      </c>
      <c r="F184" s="29" t="str">
        <f>VLOOKUP($D184,Lists!$J$1:$AB$29,2,FALSE)</f>
        <v>RR-yy-SS</v>
      </c>
      <c r="G184" t="s">
        <v>112</v>
      </c>
      <c r="H184" s="29" t="str">
        <f>VLOOKUP($D184,Lists!$J$1:$AB$29,3,FALSE)</f>
        <v>-</v>
      </c>
      <c r="I184" s="29">
        <f>VLOOKUP($D184,Lists!$J$1:$AB$29,4,FALSE)</f>
        <v>1</v>
      </c>
      <c r="J184" s="29" t="str">
        <f>VLOOKUP($D184,Lists!$J$1:$AB$29,5,FALSE)</f>
        <v>RyS</v>
      </c>
      <c r="K184" s="29">
        <f>VLOOKUP($D184,Lists!$J$1:$AB$29,6,FALSE)</f>
        <v>212</v>
      </c>
      <c r="L184" s="29" t="str">
        <f>VLOOKUP($D184,Lists!$J$1:$AB$29,7,FALSE)</f>
        <v>-</v>
      </c>
      <c r="M184" s="29" t="str">
        <f>VLOOKUP($D184,Lists!$J$1:$AB$29,8,FALSE)</f>
        <v>-</v>
      </c>
      <c r="N184" s="29" t="str">
        <f>VLOOKUP($D184,Lists!$J$1:$AB$29,9,FALSE)</f>
        <v>-</v>
      </c>
      <c r="O184" s="29" t="str">
        <f>VLOOKUP($D184,Lists!$J$1:$AB$29,10,FALSE)</f>
        <v>-</v>
      </c>
      <c r="P184" s="29" t="str">
        <f>VLOOKUP($D184,Lists!$J$1:$AB$29,11,FALSE)</f>
        <v>-</v>
      </c>
      <c r="Q184" s="29" t="str">
        <f>VLOOKUP($D184,Lists!$J$1:$AB$29,12,FALSE)</f>
        <v>-</v>
      </c>
      <c r="R184" s="29" t="str">
        <f>VLOOKUP($D184,Lists!$J$1:$AB$29,13,FALSE)</f>
        <v>-</v>
      </c>
      <c r="S184" s="29" t="str">
        <f>VLOOKUP($D184,Lists!$J$1:$AB$29,14,FALSE)</f>
        <v>-</v>
      </c>
      <c r="T184" s="29" t="str">
        <f>VLOOKUP($D184,Lists!$J$1:$AB$29,15,FALSE)</f>
        <v>-</v>
      </c>
      <c r="U184" s="29" t="str">
        <f>VLOOKUP($D184,Lists!$J$1:$AB$29,16,FALSE)</f>
        <v>-</v>
      </c>
      <c r="V184" s="29" t="str">
        <f>VLOOKUP($D184,Lists!$J$1:$AB$29,17,FALSE)</f>
        <v>-</v>
      </c>
      <c r="W184" s="29" t="str">
        <f>VLOOKUP($D184,Lists!$J$1:$AB$29,18,FALSE)</f>
        <v>-</v>
      </c>
      <c r="X184" s="29" t="str">
        <f>VLOOKUP($D184,Lists!$J$1:$AB$29,19,FALSE)</f>
        <v>-</v>
      </c>
      <c r="Y184" s="29" t="str">
        <f>VLOOKUP($D184,Lists!$J$1:$AC$29,20,FALSE)</f>
        <v>-</v>
      </c>
      <c r="Z184" s="32" t="str">
        <f t="shared" si="2"/>
        <v>1</v>
      </c>
    </row>
    <row r="185" spans="1:26" x14ac:dyDescent="0.25">
      <c r="A185" t="s">
        <v>81</v>
      </c>
      <c r="B185" t="s">
        <v>59</v>
      </c>
      <c r="C185" s="16" t="str">
        <f>A185&amp;B185</f>
        <v>WindflowersRed 5</v>
      </c>
      <c r="D185" s="8">
        <v>321</v>
      </c>
      <c r="E185" s="16" t="str">
        <f>A185&amp;D185</f>
        <v>Windflowers321</v>
      </c>
      <c r="F185" s="29" t="str">
        <f>VLOOKUP($D185,Lists!$J$1:$AB$29,2,FALSE)</f>
        <v>RR-Yy-ss</v>
      </c>
      <c r="G185" t="s">
        <v>94</v>
      </c>
      <c r="H185" s="29" t="str">
        <f>VLOOKUP($D185,Lists!$J$1:$AB$29,3,FALSE)</f>
        <v>Y</v>
      </c>
      <c r="I185" s="29">
        <f>VLOOKUP($D185,Lists!$J$1:$AB$29,4,FALSE)</f>
        <v>2</v>
      </c>
      <c r="J185" s="29" t="str">
        <f>VLOOKUP($D185,Lists!$J$1:$AB$29,5,FALSE)</f>
        <v>RYs</v>
      </c>
      <c r="K185" s="29">
        <f>VLOOKUP($D185,Lists!$J$1:$AB$29,6,FALSE)</f>
        <v>221</v>
      </c>
      <c r="L185" s="29" t="str">
        <f>VLOOKUP($D185,Lists!$J$1:$AB$29,7,FALSE)</f>
        <v>Rys</v>
      </c>
      <c r="M185" s="29">
        <f>VLOOKUP($D185,Lists!$J$1:$AB$29,8,FALSE)</f>
        <v>211</v>
      </c>
      <c r="N185" s="29" t="str">
        <f>VLOOKUP($D185,Lists!$J$1:$AB$29,9,FALSE)</f>
        <v>-</v>
      </c>
      <c r="O185" s="29" t="str">
        <f>VLOOKUP($D185,Lists!$J$1:$AB$29,10,FALSE)</f>
        <v>-</v>
      </c>
      <c r="P185" s="29" t="str">
        <f>VLOOKUP($D185,Lists!$J$1:$AB$29,11,FALSE)</f>
        <v>-</v>
      </c>
      <c r="Q185" s="29" t="str">
        <f>VLOOKUP($D185,Lists!$J$1:$AB$29,12,FALSE)</f>
        <v>-</v>
      </c>
      <c r="R185" s="29" t="str">
        <f>VLOOKUP($D185,Lists!$J$1:$AB$29,13,FALSE)</f>
        <v>-</v>
      </c>
      <c r="S185" s="29" t="str">
        <f>VLOOKUP($D185,Lists!$J$1:$AB$29,14,FALSE)</f>
        <v>-</v>
      </c>
      <c r="T185" s="29" t="str">
        <f>VLOOKUP($D185,Lists!$J$1:$AB$29,15,FALSE)</f>
        <v>-</v>
      </c>
      <c r="U185" s="29" t="str">
        <f>VLOOKUP($D185,Lists!$J$1:$AB$29,16,FALSE)</f>
        <v>-</v>
      </c>
      <c r="V185" s="29" t="str">
        <f>VLOOKUP($D185,Lists!$J$1:$AB$29,17,FALSE)</f>
        <v>-</v>
      </c>
      <c r="W185" s="29" t="str">
        <f>VLOOKUP($D185,Lists!$J$1:$AB$29,18,FALSE)</f>
        <v>-</v>
      </c>
      <c r="X185" s="29" t="str">
        <f>VLOOKUP($D185,Lists!$J$1:$AB$29,19,FALSE)</f>
        <v>-</v>
      </c>
      <c r="Y185" s="29" t="str">
        <f>VLOOKUP($D185,Lists!$J$1:$AC$29,20,FALSE)</f>
        <v>-</v>
      </c>
      <c r="Z185" s="32" t="str">
        <f t="shared" si="2"/>
        <v>5</v>
      </c>
    </row>
    <row r="186" spans="1:26" x14ac:dyDescent="0.25">
      <c r="A186" t="s">
        <v>81</v>
      </c>
      <c r="B186" t="s">
        <v>109</v>
      </c>
      <c r="C186" s="16" t="str">
        <f>A186&amp;B186</f>
        <v>WindflowersRed 6</v>
      </c>
      <c r="D186" s="8">
        <v>322</v>
      </c>
      <c r="E186" s="16" t="str">
        <f>A186&amp;D186</f>
        <v>Windflowers322</v>
      </c>
      <c r="F186" s="29" t="str">
        <f>VLOOKUP($D186,Lists!$J$1:$AB$29,2,FALSE)</f>
        <v>RR-Yy-Ss</v>
      </c>
      <c r="G186" t="s">
        <v>94</v>
      </c>
      <c r="H186" s="29" t="str">
        <f>VLOOKUP($D186,Lists!$J$1:$AB$29,3,FALSE)</f>
        <v>YS</v>
      </c>
      <c r="I186" s="29">
        <f>VLOOKUP($D186,Lists!$J$1:$AB$29,4,FALSE)</f>
        <v>4</v>
      </c>
      <c r="J186" s="29" t="str">
        <f>VLOOKUP($D186,Lists!$J$1:$AB$29,5,FALSE)</f>
        <v>RYS</v>
      </c>
      <c r="K186" s="29">
        <f>VLOOKUP($D186,Lists!$J$1:$AB$29,6,FALSE)</f>
        <v>222</v>
      </c>
      <c r="L186" s="29" t="str">
        <f>VLOOKUP($D186,Lists!$J$1:$AB$29,7,FALSE)</f>
        <v>RyS</v>
      </c>
      <c r="M186" s="29">
        <f>VLOOKUP($D186,Lists!$J$1:$AB$29,8,FALSE)</f>
        <v>212</v>
      </c>
      <c r="N186" s="29" t="str">
        <f>VLOOKUP($D186,Lists!$J$1:$AB$29,9,FALSE)</f>
        <v>RYs</v>
      </c>
      <c r="O186" s="29">
        <f>VLOOKUP($D186,Lists!$J$1:$AB$29,10,FALSE)</f>
        <v>221</v>
      </c>
      <c r="P186" s="29" t="str">
        <f>VLOOKUP($D186,Lists!$J$1:$AB$29,11,FALSE)</f>
        <v>Rys</v>
      </c>
      <c r="Q186" s="29">
        <f>VLOOKUP($D186,Lists!$J$1:$AB$29,12,FALSE)</f>
        <v>211</v>
      </c>
      <c r="R186" s="29" t="str">
        <f>VLOOKUP($D186,Lists!$J$1:$AB$29,13,FALSE)</f>
        <v>-</v>
      </c>
      <c r="S186" s="29" t="str">
        <f>VLOOKUP($D186,Lists!$J$1:$AB$29,14,FALSE)</f>
        <v>-</v>
      </c>
      <c r="T186" s="29" t="str">
        <f>VLOOKUP($D186,Lists!$J$1:$AB$29,15,FALSE)</f>
        <v>-</v>
      </c>
      <c r="U186" s="29" t="str">
        <f>VLOOKUP($D186,Lists!$J$1:$AB$29,16,FALSE)</f>
        <v>-</v>
      </c>
      <c r="V186" s="29" t="str">
        <f>VLOOKUP($D186,Lists!$J$1:$AB$29,17,FALSE)</f>
        <v>-</v>
      </c>
      <c r="W186" s="29" t="str">
        <f>VLOOKUP($D186,Lists!$J$1:$AB$29,18,FALSE)</f>
        <v>-</v>
      </c>
      <c r="X186" s="29" t="str">
        <f>VLOOKUP($D186,Lists!$J$1:$AB$29,19,FALSE)</f>
        <v>-</v>
      </c>
      <c r="Y186" s="29" t="str">
        <f>VLOOKUP($D186,Lists!$J$1:$AC$29,20,FALSE)</f>
        <v>-</v>
      </c>
      <c r="Z186" s="32" t="str">
        <f t="shared" si="2"/>
        <v>6</v>
      </c>
    </row>
    <row r="187" spans="1:26" x14ac:dyDescent="0.25">
      <c r="A187" t="s">
        <v>81</v>
      </c>
      <c r="B187" t="s">
        <v>107</v>
      </c>
      <c r="C187" s="16" t="str">
        <f>A187&amp;B187</f>
        <v>WindflowersPurple 2</v>
      </c>
      <c r="D187" s="8">
        <v>323</v>
      </c>
      <c r="E187" s="16" t="str">
        <f>A187&amp;D187</f>
        <v>Windflowers323</v>
      </c>
      <c r="F187" s="29" t="str">
        <f>VLOOKUP($D187,Lists!$J$1:$AB$29,2,FALSE)</f>
        <v>RR-Yy-SS</v>
      </c>
      <c r="G187" t="s">
        <v>112</v>
      </c>
      <c r="H187" s="29" t="str">
        <f>VLOOKUP($D187,Lists!$J$1:$AB$29,3,FALSE)</f>
        <v>Y</v>
      </c>
      <c r="I187" s="29">
        <f>VLOOKUP($D187,Lists!$J$1:$AB$29,4,FALSE)</f>
        <v>2</v>
      </c>
      <c r="J187" s="29" t="str">
        <f>VLOOKUP($D187,Lists!$J$1:$AB$29,5,FALSE)</f>
        <v>RYS</v>
      </c>
      <c r="K187" s="29">
        <f>VLOOKUP($D187,Lists!$J$1:$AB$29,6,FALSE)</f>
        <v>222</v>
      </c>
      <c r="L187" s="29" t="str">
        <f>VLOOKUP($D187,Lists!$J$1:$AB$29,7,FALSE)</f>
        <v>RyS</v>
      </c>
      <c r="M187" s="29">
        <f>VLOOKUP($D187,Lists!$J$1:$AB$29,8,FALSE)</f>
        <v>212</v>
      </c>
      <c r="N187" s="29" t="str">
        <f>VLOOKUP($D187,Lists!$J$1:$AB$29,9,FALSE)</f>
        <v>-</v>
      </c>
      <c r="O187" s="29" t="str">
        <f>VLOOKUP($D187,Lists!$J$1:$AB$29,10,FALSE)</f>
        <v>-</v>
      </c>
      <c r="P187" s="29" t="str">
        <f>VLOOKUP($D187,Lists!$J$1:$AB$29,11,FALSE)</f>
        <v>-</v>
      </c>
      <c r="Q187" s="29" t="str">
        <f>VLOOKUP($D187,Lists!$J$1:$AB$29,12,FALSE)</f>
        <v>-</v>
      </c>
      <c r="R187" s="29" t="str">
        <f>VLOOKUP($D187,Lists!$J$1:$AB$29,13,FALSE)</f>
        <v>-</v>
      </c>
      <c r="S187" s="29" t="str">
        <f>VLOOKUP($D187,Lists!$J$1:$AB$29,14,FALSE)</f>
        <v>-</v>
      </c>
      <c r="T187" s="29" t="str">
        <f>VLOOKUP($D187,Lists!$J$1:$AB$29,15,FALSE)</f>
        <v>-</v>
      </c>
      <c r="U187" s="29" t="str">
        <f>VLOOKUP($D187,Lists!$J$1:$AB$29,16,FALSE)</f>
        <v>-</v>
      </c>
      <c r="V187" s="29" t="str">
        <f>VLOOKUP($D187,Lists!$J$1:$AB$29,17,FALSE)</f>
        <v>-</v>
      </c>
      <c r="W187" s="29" t="str">
        <f>VLOOKUP($D187,Lists!$J$1:$AB$29,18,FALSE)</f>
        <v>-</v>
      </c>
      <c r="X187" s="29" t="str">
        <f>VLOOKUP($D187,Lists!$J$1:$AB$29,19,FALSE)</f>
        <v>-</v>
      </c>
      <c r="Y187" s="29" t="str">
        <f>VLOOKUP($D187,Lists!$J$1:$AC$29,20,FALSE)</f>
        <v>-</v>
      </c>
      <c r="Z187" s="32" t="str">
        <f t="shared" si="2"/>
        <v>2</v>
      </c>
    </row>
    <row r="188" spans="1:26" x14ac:dyDescent="0.25">
      <c r="A188" t="s">
        <v>81</v>
      </c>
      <c r="B188" t="s">
        <v>56</v>
      </c>
      <c r="C188" s="16" t="str">
        <f>A188&amp;B188</f>
        <v>WindflowersPink 4</v>
      </c>
      <c r="D188" s="8">
        <v>331</v>
      </c>
      <c r="E188" s="16" t="str">
        <f>A188&amp;D188</f>
        <v>Windflowers331</v>
      </c>
      <c r="F188" s="29" t="str">
        <f>VLOOKUP($D188,Lists!$J$1:$AB$29,2,FALSE)</f>
        <v>RR-YY-ss</v>
      </c>
      <c r="G188" t="s">
        <v>98</v>
      </c>
      <c r="H188" s="29" t="str">
        <f>VLOOKUP($D188,Lists!$J$1:$AB$29,3,FALSE)</f>
        <v>-</v>
      </c>
      <c r="I188" s="29">
        <f>VLOOKUP($D188,Lists!$J$1:$AB$29,4,FALSE)</f>
        <v>1</v>
      </c>
      <c r="J188" s="29" t="str">
        <f>VLOOKUP($D188,Lists!$J$1:$AB$29,5,FALSE)</f>
        <v>RYs</v>
      </c>
      <c r="K188" s="29">
        <f>VLOOKUP($D188,Lists!$J$1:$AB$29,6,FALSE)</f>
        <v>221</v>
      </c>
      <c r="L188" s="29" t="str">
        <f>VLOOKUP($D188,Lists!$J$1:$AB$29,7,FALSE)</f>
        <v>-</v>
      </c>
      <c r="M188" s="29" t="str">
        <f>VLOOKUP($D188,Lists!$J$1:$AB$29,8,FALSE)</f>
        <v>-</v>
      </c>
      <c r="N188" s="29" t="str">
        <f>VLOOKUP($D188,Lists!$J$1:$AB$29,9,FALSE)</f>
        <v>-</v>
      </c>
      <c r="O188" s="29" t="str">
        <f>VLOOKUP($D188,Lists!$J$1:$AB$29,10,FALSE)</f>
        <v>-</v>
      </c>
      <c r="P188" s="29" t="str">
        <f>VLOOKUP($D188,Lists!$J$1:$AB$29,11,FALSE)</f>
        <v>-</v>
      </c>
      <c r="Q188" s="29" t="str">
        <f>VLOOKUP($D188,Lists!$J$1:$AB$29,12,FALSE)</f>
        <v>-</v>
      </c>
      <c r="R188" s="29" t="str">
        <f>VLOOKUP($D188,Lists!$J$1:$AB$29,13,FALSE)</f>
        <v>-</v>
      </c>
      <c r="S188" s="29" t="str">
        <f>VLOOKUP($D188,Lists!$J$1:$AB$29,14,FALSE)</f>
        <v>-</v>
      </c>
      <c r="T188" s="29" t="str">
        <f>VLOOKUP($D188,Lists!$J$1:$AB$29,15,FALSE)</f>
        <v>-</v>
      </c>
      <c r="U188" s="29" t="str">
        <f>VLOOKUP($D188,Lists!$J$1:$AB$29,16,FALSE)</f>
        <v>-</v>
      </c>
      <c r="V188" s="29" t="str">
        <f>VLOOKUP($D188,Lists!$J$1:$AB$29,17,FALSE)</f>
        <v>-</v>
      </c>
      <c r="W188" s="29" t="str">
        <f>VLOOKUP($D188,Lists!$J$1:$AB$29,18,FALSE)</f>
        <v>-</v>
      </c>
      <c r="X188" s="29" t="str">
        <f>VLOOKUP($D188,Lists!$J$1:$AB$29,19,FALSE)</f>
        <v>-</v>
      </c>
      <c r="Y188" s="29" t="str">
        <f>VLOOKUP($D188,Lists!$J$1:$AC$29,20,FALSE)</f>
        <v>-</v>
      </c>
      <c r="Z188" s="32" t="str">
        <f t="shared" si="2"/>
        <v>4</v>
      </c>
    </row>
    <row r="189" spans="1:26" x14ac:dyDescent="0.25">
      <c r="A189" t="s">
        <v>81</v>
      </c>
      <c r="B189" t="s">
        <v>120</v>
      </c>
      <c r="C189" s="16" t="str">
        <f>A189&amp;B189</f>
        <v>WindflowersPink 5</v>
      </c>
      <c r="D189" s="8">
        <v>332</v>
      </c>
      <c r="E189" s="16" t="str">
        <f>A189&amp;D189</f>
        <v>Windflowers332</v>
      </c>
      <c r="F189" s="29" t="str">
        <f>VLOOKUP($D189,Lists!$J$1:$AB$29,2,FALSE)</f>
        <v>RR-YY-Ss</v>
      </c>
      <c r="G189" t="s">
        <v>98</v>
      </c>
      <c r="H189" s="29" t="str">
        <f>VLOOKUP($D189,Lists!$J$1:$AB$29,3,FALSE)</f>
        <v>S</v>
      </c>
      <c r="I189" s="29">
        <f>VLOOKUP($D189,Lists!$J$1:$AB$29,4,FALSE)</f>
        <v>2</v>
      </c>
      <c r="J189" s="29" t="str">
        <f>VLOOKUP($D189,Lists!$J$1:$AB$29,5,FALSE)</f>
        <v>RYS</v>
      </c>
      <c r="K189" s="29">
        <f>VLOOKUP($D189,Lists!$J$1:$AB$29,6,FALSE)</f>
        <v>222</v>
      </c>
      <c r="L189" s="29" t="str">
        <f>VLOOKUP($D189,Lists!$J$1:$AB$29,7,FALSE)</f>
        <v>Rys</v>
      </c>
      <c r="M189" s="29">
        <f>VLOOKUP($D189,Lists!$J$1:$AB$29,8,FALSE)</f>
        <v>211</v>
      </c>
      <c r="N189" s="29" t="str">
        <f>VLOOKUP($D189,Lists!$J$1:$AB$29,9,FALSE)</f>
        <v>-</v>
      </c>
      <c r="O189" s="29" t="str">
        <f>VLOOKUP($D189,Lists!$J$1:$AB$29,10,FALSE)</f>
        <v>-</v>
      </c>
      <c r="P189" s="29" t="str">
        <f>VLOOKUP($D189,Lists!$J$1:$AB$29,11,FALSE)</f>
        <v>-</v>
      </c>
      <c r="Q189" s="29" t="str">
        <f>VLOOKUP($D189,Lists!$J$1:$AB$29,12,FALSE)</f>
        <v>-</v>
      </c>
      <c r="R189" s="29" t="str">
        <f>VLOOKUP($D189,Lists!$J$1:$AB$29,13,FALSE)</f>
        <v>-</v>
      </c>
      <c r="S189" s="29" t="str">
        <f>VLOOKUP($D189,Lists!$J$1:$AB$29,14,FALSE)</f>
        <v>-</v>
      </c>
      <c r="T189" s="29" t="str">
        <f>VLOOKUP($D189,Lists!$J$1:$AB$29,15,FALSE)</f>
        <v>-</v>
      </c>
      <c r="U189" s="29" t="str">
        <f>VLOOKUP($D189,Lists!$J$1:$AB$29,16,FALSE)</f>
        <v>-</v>
      </c>
      <c r="V189" s="29" t="str">
        <f>VLOOKUP($D189,Lists!$J$1:$AB$29,17,FALSE)</f>
        <v>-</v>
      </c>
      <c r="W189" s="29" t="str">
        <f>VLOOKUP($D189,Lists!$J$1:$AB$29,18,FALSE)</f>
        <v>-</v>
      </c>
      <c r="X189" s="29" t="str">
        <f>VLOOKUP($D189,Lists!$J$1:$AB$29,19,FALSE)</f>
        <v>-</v>
      </c>
      <c r="Y189" s="29" t="str">
        <f>VLOOKUP($D189,Lists!$J$1:$AC$29,20,FALSE)</f>
        <v>-</v>
      </c>
      <c r="Z189" s="32" t="str">
        <f t="shared" si="2"/>
        <v>5</v>
      </c>
    </row>
    <row r="190" spans="1:26" x14ac:dyDescent="0.25">
      <c r="A190" t="s">
        <v>81</v>
      </c>
      <c r="B190" t="s">
        <v>108</v>
      </c>
      <c r="C190" s="16" t="str">
        <f>A190&amp;B190</f>
        <v>WindflowersPurple 3</v>
      </c>
      <c r="D190" s="8">
        <v>333</v>
      </c>
      <c r="E190" s="16" t="str">
        <f>A190&amp;D190</f>
        <v>Windflowers333</v>
      </c>
      <c r="F190" s="29" t="str">
        <f>VLOOKUP($D190,Lists!$J$1:$AB$29,2,FALSE)</f>
        <v>RR-YY-SS</v>
      </c>
      <c r="G190" t="s">
        <v>112</v>
      </c>
      <c r="H190" s="29" t="str">
        <f>VLOOKUP($D190,Lists!$J$1:$AB$29,3,FALSE)</f>
        <v>-</v>
      </c>
      <c r="I190" s="29">
        <f>VLOOKUP($D190,Lists!$J$1:$AB$29,4,FALSE)</f>
        <v>1</v>
      </c>
      <c r="J190" s="29" t="str">
        <f>VLOOKUP($D190,Lists!$J$1:$AB$29,5,FALSE)</f>
        <v>RYS</v>
      </c>
      <c r="K190" s="29">
        <f>VLOOKUP($D190,Lists!$J$1:$AB$29,6,FALSE)</f>
        <v>222</v>
      </c>
      <c r="L190" s="29" t="str">
        <f>VLOOKUP($D190,Lists!$J$1:$AB$29,7,FALSE)</f>
        <v>-</v>
      </c>
      <c r="M190" s="29" t="str">
        <f>VLOOKUP($D190,Lists!$J$1:$AB$29,8,FALSE)</f>
        <v>-</v>
      </c>
      <c r="N190" s="29" t="str">
        <f>VLOOKUP($D190,Lists!$J$1:$AB$29,9,FALSE)</f>
        <v>-</v>
      </c>
      <c r="O190" s="29" t="str">
        <f>VLOOKUP($D190,Lists!$J$1:$AB$29,10,FALSE)</f>
        <v>-</v>
      </c>
      <c r="P190" s="29" t="str">
        <f>VLOOKUP($D190,Lists!$J$1:$AB$29,11,FALSE)</f>
        <v>-</v>
      </c>
      <c r="Q190" s="29" t="str">
        <f>VLOOKUP($D190,Lists!$J$1:$AB$29,12,FALSE)</f>
        <v>-</v>
      </c>
      <c r="R190" s="29" t="str">
        <f>VLOOKUP($D190,Lists!$J$1:$AB$29,13,FALSE)</f>
        <v>-</v>
      </c>
      <c r="S190" s="29" t="str">
        <f>VLOOKUP($D190,Lists!$J$1:$AB$29,14,FALSE)</f>
        <v>-</v>
      </c>
      <c r="T190" s="29" t="str">
        <f>VLOOKUP($D190,Lists!$J$1:$AB$29,15,FALSE)</f>
        <v>-</v>
      </c>
      <c r="U190" s="29" t="str">
        <f>VLOOKUP($D190,Lists!$J$1:$AB$29,16,FALSE)</f>
        <v>-</v>
      </c>
      <c r="V190" s="29" t="str">
        <f>VLOOKUP($D190,Lists!$J$1:$AB$29,17,FALSE)</f>
        <v>-</v>
      </c>
      <c r="W190" s="29" t="str">
        <f>VLOOKUP($D190,Lists!$J$1:$AB$29,18,FALSE)</f>
        <v>-</v>
      </c>
      <c r="X190" s="29" t="str">
        <f>VLOOKUP($D190,Lists!$J$1:$AB$29,19,FALSE)</f>
        <v>-</v>
      </c>
      <c r="Y190" s="29" t="str">
        <f>VLOOKUP($D190,Lists!$J$1:$AC$29,20,FALSE)</f>
        <v>-</v>
      </c>
      <c r="Z190" s="32" t="str">
        <f t="shared" si="2"/>
        <v>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B4204-A61D-4677-85EB-978DE01F7177}">
  <dimension ref="A1:AP29"/>
  <sheetViews>
    <sheetView workbookViewId="0">
      <selection sqref="A1:G28"/>
    </sheetView>
  </sheetViews>
  <sheetFormatPr defaultRowHeight="15" x14ac:dyDescent="0.25"/>
  <cols>
    <col min="1" max="6" width="11.85546875" bestFit="1" customWidth="1"/>
    <col min="7" max="7" width="12.42578125" bestFit="1" customWidth="1"/>
    <col min="41" max="41" width="12.42578125" bestFit="1" customWidth="1"/>
  </cols>
  <sheetData>
    <row r="1" spans="1:42" x14ac:dyDescent="0.25">
      <c r="A1" t="s">
        <v>68</v>
      </c>
      <c r="B1" t="s">
        <v>82</v>
      </c>
      <c r="C1" t="s">
        <v>78</v>
      </c>
      <c r="D1" t="s">
        <v>79</v>
      </c>
      <c r="E1" t="s">
        <v>80</v>
      </c>
      <c r="F1" t="s">
        <v>83</v>
      </c>
      <c r="G1" t="s">
        <v>81</v>
      </c>
      <c r="J1" t="s">
        <v>101</v>
      </c>
      <c r="K1" s="2" t="s">
        <v>67</v>
      </c>
      <c r="L1" s="2" t="s">
        <v>70</v>
      </c>
      <c r="M1" s="2" t="s">
        <v>51</v>
      </c>
      <c r="N1" t="s">
        <v>124</v>
      </c>
      <c r="O1" t="s">
        <v>122</v>
      </c>
      <c r="P1" t="s">
        <v>125</v>
      </c>
      <c r="Q1" t="s">
        <v>123</v>
      </c>
      <c r="R1" t="s">
        <v>126</v>
      </c>
      <c r="S1" t="s">
        <v>129</v>
      </c>
      <c r="T1" t="s">
        <v>127</v>
      </c>
      <c r="U1" t="s">
        <v>130</v>
      </c>
      <c r="V1" t="s">
        <v>128</v>
      </c>
      <c r="W1" t="s">
        <v>131</v>
      </c>
      <c r="X1" t="s">
        <v>132</v>
      </c>
      <c r="Y1" t="s">
        <v>133</v>
      </c>
      <c r="Z1" t="s">
        <v>134</v>
      </c>
      <c r="AA1" t="s">
        <v>135</v>
      </c>
      <c r="AB1" t="s">
        <v>136</v>
      </c>
      <c r="AC1" t="s">
        <v>137</v>
      </c>
      <c r="AE1" t="s">
        <v>102</v>
      </c>
      <c r="AO1" s="7" t="s">
        <v>121</v>
      </c>
      <c r="AP1" s="9"/>
    </row>
    <row r="2" spans="1:42" x14ac:dyDescent="0.25">
      <c r="A2" t="s">
        <v>77</v>
      </c>
      <c r="B2" t="s">
        <v>77</v>
      </c>
      <c r="C2" t="s">
        <v>77</v>
      </c>
      <c r="D2" t="s">
        <v>77</v>
      </c>
      <c r="E2" t="s">
        <v>77</v>
      </c>
      <c r="F2" t="s">
        <v>77</v>
      </c>
      <c r="G2" t="s">
        <v>77</v>
      </c>
      <c r="J2" s="8">
        <v>311</v>
      </c>
      <c r="K2" s="4" t="s">
        <v>0</v>
      </c>
      <c r="L2" s="4" t="s">
        <v>72</v>
      </c>
      <c r="M2" s="4">
        <v>1</v>
      </c>
      <c r="N2" s="1" t="s">
        <v>3</v>
      </c>
      <c r="O2" s="1">
        <v>211</v>
      </c>
      <c r="P2" s="1" t="str">
        <f>"-"</f>
        <v>-</v>
      </c>
      <c r="Q2" s="1" t="str">
        <f t="shared" ref="Q2:AC4" si="0">"-"</f>
        <v>-</v>
      </c>
      <c r="R2" s="1" t="str">
        <f t="shared" si="0"/>
        <v>-</v>
      </c>
      <c r="S2" s="1" t="str">
        <f t="shared" si="0"/>
        <v>-</v>
      </c>
      <c r="T2" s="1" t="str">
        <f t="shared" si="0"/>
        <v>-</v>
      </c>
      <c r="U2" s="1" t="str">
        <f t="shared" si="0"/>
        <v>-</v>
      </c>
      <c r="V2" s="1" t="str">
        <f t="shared" si="0"/>
        <v>-</v>
      </c>
      <c r="W2" s="1" t="str">
        <f t="shared" si="0"/>
        <v>-</v>
      </c>
      <c r="X2" s="1" t="str">
        <f t="shared" si="0"/>
        <v>-</v>
      </c>
      <c r="Y2" s="1" t="str">
        <f t="shared" si="0"/>
        <v>-</v>
      </c>
      <c r="Z2" s="1" t="str">
        <f t="shared" si="0"/>
        <v>-</v>
      </c>
      <c r="AA2" s="1" t="str">
        <f t="shared" si="0"/>
        <v>-</v>
      </c>
      <c r="AB2" s="1" t="str">
        <f t="shared" si="0"/>
        <v>-</v>
      </c>
      <c r="AC2" s="1" t="str">
        <f t="shared" si="0"/>
        <v>-</v>
      </c>
      <c r="AE2" t="s">
        <v>138</v>
      </c>
      <c r="AF2" s="7">
        <v>222</v>
      </c>
      <c r="AG2" s="7">
        <v>212</v>
      </c>
      <c r="AH2" s="7">
        <v>221</v>
      </c>
      <c r="AI2" s="7">
        <v>211</v>
      </c>
      <c r="AJ2" s="7">
        <v>122</v>
      </c>
      <c r="AK2" s="7">
        <v>112</v>
      </c>
      <c r="AL2" s="7">
        <v>121</v>
      </c>
      <c r="AM2" s="7">
        <v>111</v>
      </c>
      <c r="AO2" s="12" t="s">
        <v>25</v>
      </c>
      <c r="AP2" s="11">
        <v>222</v>
      </c>
    </row>
    <row r="3" spans="1:42" x14ac:dyDescent="0.25">
      <c r="A3" t="s">
        <v>84</v>
      </c>
      <c r="B3" t="s">
        <v>84</v>
      </c>
      <c r="C3" t="s">
        <v>84</v>
      </c>
      <c r="D3" t="s">
        <v>84</v>
      </c>
      <c r="E3" t="s">
        <v>84</v>
      </c>
      <c r="F3" t="s">
        <v>84</v>
      </c>
      <c r="G3" t="s">
        <v>119</v>
      </c>
      <c r="J3" s="8">
        <f>132</f>
        <v>132</v>
      </c>
      <c r="K3" s="4" t="s">
        <v>1</v>
      </c>
      <c r="L3" s="4" t="s">
        <v>29</v>
      </c>
      <c r="M3" s="4">
        <v>2</v>
      </c>
      <c r="N3" s="1" t="s">
        <v>5</v>
      </c>
      <c r="O3" s="1">
        <v>121</v>
      </c>
      <c r="P3" s="1" t="s">
        <v>4</v>
      </c>
      <c r="Q3" s="1">
        <v>122</v>
      </c>
      <c r="R3" s="1" t="str">
        <f t="shared" ref="P2:AC26" si="1">"-"</f>
        <v>-</v>
      </c>
      <c r="S3" s="1" t="str">
        <f t="shared" si="0"/>
        <v>-</v>
      </c>
      <c r="T3" s="1" t="str">
        <f t="shared" si="0"/>
        <v>-</v>
      </c>
      <c r="U3" s="1" t="str">
        <f t="shared" si="0"/>
        <v>-</v>
      </c>
      <c r="V3" s="1" t="str">
        <f t="shared" si="0"/>
        <v>-</v>
      </c>
      <c r="W3" s="1" t="str">
        <f t="shared" si="0"/>
        <v>-</v>
      </c>
      <c r="X3" s="1" t="str">
        <f t="shared" si="0"/>
        <v>-</v>
      </c>
      <c r="Y3" s="1" t="str">
        <f t="shared" si="0"/>
        <v>-</v>
      </c>
      <c r="Z3" s="1" t="str">
        <f t="shared" si="0"/>
        <v>-</v>
      </c>
      <c r="AA3" s="1" t="str">
        <f t="shared" si="0"/>
        <v>-</v>
      </c>
      <c r="AB3" s="1" t="str">
        <f t="shared" si="0"/>
        <v>-</v>
      </c>
      <c r="AC3" s="1" t="str">
        <f t="shared" si="0"/>
        <v>-</v>
      </c>
      <c r="AE3" s="10">
        <v>222</v>
      </c>
      <c r="AF3">
        <v>333</v>
      </c>
      <c r="AG3">
        <v>323</v>
      </c>
      <c r="AH3">
        <v>332</v>
      </c>
      <c r="AI3">
        <v>322</v>
      </c>
      <c r="AJ3">
        <v>233</v>
      </c>
      <c r="AK3">
        <v>223</v>
      </c>
      <c r="AL3">
        <v>232</v>
      </c>
      <c r="AM3">
        <v>222</v>
      </c>
      <c r="AO3" s="12" t="s">
        <v>49</v>
      </c>
      <c r="AP3">
        <v>212</v>
      </c>
    </row>
    <row r="4" spans="1:42" x14ac:dyDescent="0.25">
      <c r="A4" t="s">
        <v>85</v>
      </c>
      <c r="B4" t="s">
        <v>85</v>
      </c>
      <c r="C4" t="s">
        <v>85</v>
      </c>
      <c r="D4" t="s">
        <v>85</v>
      </c>
      <c r="E4" t="s">
        <v>85</v>
      </c>
      <c r="F4" t="s">
        <v>85</v>
      </c>
      <c r="G4" t="s">
        <v>85</v>
      </c>
      <c r="J4" s="8">
        <f>112</f>
        <v>112</v>
      </c>
      <c r="K4" s="4" t="s">
        <v>8</v>
      </c>
      <c r="L4" s="4" t="s">
        <v>29</v>
      </c>
      <c r="M4" s="4">
        <v>2</v>
      </c>
      <c r="N4" s="1" t="s">
        <v>10</v>
      </c>
      <c r="O4" s="1">
        <v>111</v>
      </c>
      <c r="P4" s="1" t="s">
        <v>9</v>
      </c>
      <c r="Q4" s="1">
        <v>112</v>
      </c>
      <c r="R4" s="1" t="str">
        <f t="shared" si="1"/>
        <v>-</v>
      </c>
      <c r="S4" s="1" t="str">
        <f t="shared" si="0"/>
        <v>-</v>
      </c>
      <c r="T4" s="1" t="str">
        <f t="shared" si="0"/>
        <v>-</v>
      </c>
      <c r="U4" s="1" t="str">
        <f t="shared" si="0"/>
        <v>-</v>
      </c>
      <c r="V4" s="1" t="str">
        <f t="shared" si="0"/>
        <v>-</v>
      </c>
      <c r="W4" s="1" t="str">
        <f t="shared" si="0"/>
        <v>-</v>
      </c>
      <c r="X4" s="1" t="str">
        <f t="shared" si="0"/>
        <v>-</v>
      </c>
      <c r="Y4" s="1" t="str">
        <f t="shared" si="0"/>
        <v>-</v>
      </c>
      <c r="Z4" s="1" t="str">
        <f t="shared" si="0"/>
        <v>-</v>
      </c>
      <c r="AA4" s="1" t="str">
        <f t="shared" si="0"/>
        <v>-</v>
      </c>
      <c r="AB4" s="1" t="str">
        <f t="shared" si="0"/>
        <v>-</v>
      </c>
      <c r="AC4" s="1" t="str">
        <f t="shared" si="0"/>
        <v>-</v>
      </c>
      <c r="AE4" s="10">
        <v>212</v>
      </c>
      <c r="AF4">
        <v>323</v>
      </c>
      <c r="AG4">
        <v>313</v>
      </c>
      <c r="AH4">
        <v>322</v>
      </c>
      <c r="AI4">
        <v>312</v>
      </c>
      <c r="AJ4">
        <v>223</v>
      </c>
      <c r="AK4">
        <v>213</v>
      </c>
      <c r="AL4">
        <v>222</v>
      </c>
      <c r="AM4">
        <v>212</v>
      </c>
      <c r="AO4" s="12" t="s">
        <v>50</v>
      </c>
      <c r="AP4">
        <v>221</v>
      </c>
    </row>
    <row r="5" spans="1:42" x14ac:dyDescent="0.25">
      <c r="A5" t="s">
        <v>46</v>
      </c>
      <c r="B5" t="s">
        <v>103</v>
      </c>
      <c r="C5" t="s">
        <v>46</v>
      </c>
      <c r="D5" t="s">
        <v>114</v>
      </c>
      <c r="E5" t="s">
        <v>103</v>
      </c>
      <c r="F5" t="s">
        <v>46</v>
      </c>
      <c r="G5" t="s">
        <v>103</v>
      </c>
      <c r="J5" s="8">
        <f>222</f>
        <v>222</v>
      </c>
      <c r="K5" s="4" t="s">
        <v>6</v>
      </c>
      <c r="L5" s="4" t="s">
        <v>25</v>
      </c>
      <c r="M5" s="4">
        <v>8</v>
      </c>
      <c r="N5" s="1" t="s">
        <v>25</v>
      </c>
      <c r="O5" s="1">
        <v>222</v>
      </c>
      <c r="P5" s="1" t="s">
        <v>49</v>
      </c>
      <c r="Q5" s="1">
        <v>212</v>
      </c>
      <c r="R5" s="1" t="s">
        <v>50</v>
      </c>
      <c r="S5" s="1">
        <v>221</v>
      </c>
      <c r="T5" s="1" t="s">
        <v>3</v>
      </c>
      <c r="U5" s="1">
        <v>211</v>
      </c>
      <c r="V5" s="1" t="s">
        <v>4</v>
      </c>
      <c r="W5" s="1">
        <v>122</v>
      </c>
      <c r="X5" s="1" t="s">
        <v>9</v>
      </c>
      <c r="Y5" s="1">
        <v>112</v>
      </c>
      <c r="Z5" s="1" t="s">
        <v>5</v>
      </c>
      <c r="AA5" s="1">
        <v>121</v>
      </c>
      <c r="AB5" s="1" t="s">
        <v>10</v>
      </c>
      <c r="AC5" s="1">
        <v>111</v>
      </c>
      <c r="AE5" s="10">
        <v>221</v>
      </c>
      <c r="AF5">
        <v>332</v>
      </c>
      <c r="AG5">
        <v>322</v>
      </c>
      <c r="AH5">
        <v>331</v>
      </c>
      <c r="AI5">
        <v>321</v>
      </c>
      <c r="AJ5">
        <v>232</v>
      </c>
      <c r="AK5">
        <v>222</v>
      </c>
      <c r="AL5">
        <v>231</v>
      </c>
      <c r="AM5">
        <v>221</v>
      </c>
      <c r="AO5" s="12" t="s">
        <v>3</v>
      </c>
      <c r="AP5">
        <v>211</v>
      </c>
    </row>
    <row r="6" spans="1:42" x14ac:dyDescent="0.25">
      <c r="A6" t="s">
        <v>47</v>
      </c>
      <c r="B6" t="s">
        <v>104</v>
      </c>
      <c r="C6" t="s">
        <v>47</v>
      </c>
      <c r="D6" t="s">
        <v>115</v>
      </c>
      <c r="E6" t="s">
        <v>104</v>
      </c>
      <c r="F6" t="s">
        <v>47</v>
      </c>
      <c r="G6" t="s">
        <v>104</v>
      </c>
      <c r="J6" s="8">
        <f>221</f>
        <v>221</v>
      </c>
      <c r="K6" s="4" t="s">
        <v>7</v>
      </c>
      <c r="L6" s="4" t="s">
        <v>30</v>
      </c>
      <c r="M6" s="4">
        <v>4</v>
      </c>
      <c r="N6" s="1" t="s">
        <v>50</v>
      </c>
      <c r="O6" s="1">
        <v>221</v>
      </c>
      <c r="P6" s="1" t="s">
        <v>3</v>
      </c>
      <c r="Q6" s="1">
        <v>211</v>
      </c>
      <c r="R6" s="1" t="s">
        <v>5</v>
      </c>
      <c r="S6" s="1">
        <v>121</v>
      </c>
      <c r="T6" s="1" t="s">
        <v>10</v>
      </c>
      <c r="U6" s="1">
        <v>111</v>
      </c>
      <c r="V6" s="1" t="str">
        <f t="shared" ref="V6:AC7" si="2">"-"</f>
        <v>-</v>
      </c>
      <c r="W6" s="1" t="str">
        <f t="shared" si="2"/>
        <v>-</v>
      </c>
      <c r="X6" s="1" t="str">
        <f t="shared" si="2"/>
        <v>-</v>
      </c>
      <c r="Y6" s="1" t="str">
        <f t="shared" si="2"/>
        <v>-</v>
      </c>
      <c r="Z6" s="1" t="str">
        <f t="shared" si="2"/>
        <v>-</v>
      </c>
      <c r="AA6" s="1" t="str">
        <f t="shared" si="2"/>
        <v>-</v>
      </c>
      <c r="AB6" s="1" t="str">
        <f t="shared" si="2"/>
        <v>-</v>
      </c>
      <c r="AC6" s="1" t="str">
        <f t="shared" si="2"/>
        <v>-</v>
      </c>
      <c r="AE6" s="10">
        <v>211</v>
      </c>
      <c r="AF6">
        <v>322</v>
      </c>
      <c r="AG6">
        <v>312</v>
      </c>
      <c r="AH6">
        <v>321</v>
      </c>
      <c r="AI6">
        <v>311</v>
      </c>
      <c r="AJ6">
        <v>222</v>
      </c>
      <c r="AK6">
        <v>212</v>
      </c>
      <c r="AL6">
        <v>221</v>
      </c>
      <c r="AM6">
        <v>211</v>
      </c>
      <c r="AO6" s="12" t="s">
        <v>4</v>
      </c>
      <c r="AP6">
        <v>122</v>
      </c>
    </row>
    <row r="7" spans="1:42" x14ac:dyDescent="0.25">
      <c r="A7" t="s">
        <v>18</v>
      </c>
      <c r="B7" t="s">
        <v>18</v>
      </c>
      <c r="C7" t="s">
        <v>18</v>
      </c>
      <c r="D7" t="s">
        <v>16</v>
      </c>
      <c r="E7" t="s">
        <v>105</v>
      </c>
      <c r="F7" t="s">
        <v>18</v>
      </c>
      <c r="G7" t="s">
        <v>105</v>
      </c>
      <c r="J7" s="8">
        <f>212</f>
        <v>212</v>
      </c>
      <c r="K7" s="4" t="s">
        <v>11</v>
      </c>
      <c r="L7" s="4" t="s">
        <v>31</v>
      </c>
      <c r="M7" s="4">
        <v>4</v>
      </c>
      <c r="N7" s="1" t="s">
        <v>49</v>
      </c>
      <c r="O7" s="1">
        <v>212</v>
      </c>
      <c r="P7" s="1" t="s">
        <v>3</v>
      </c>
      <c r="Q7" s="1">
        <v>211</v>
      </c>
      <c r="R7" s="1" t="s">
        <v>9</v>
      </c>
      <c r="S7" s="1">
        <v>112</v>
      </c>
      <c r="T7" s="1" t="s">
        <v>10</v>
      </c>
      <c r="U7" s="1">
        <v>111</v>
      </c>
      <c r="V7" s="1" t="str">
        <f t="shared" si="2"/>
        <v>-</v>
      </c>
      <c r="W7" s="1" t="str">
        <f t="shared" si="2"/>
        <v>-</v>
      </c>
      <c r="X7" s="1" t="str">
        <f t="shared" si="2"/>
        <v>-</v>
      </c>
      <c r="Y7" s="1" t="str">
        <f t="shared" si="2"/>
        <v>-</v>
      </c>
      <c r="Z7" s="1" t="str">
        <f t="shared" si="2"/>
        <v>-</v>
      </c>
      <c r="AA7" s="1" t="str">
        <f t="shared" si="2"/>
        <v>-</v>
      </c>
      <c r="AB7" s="1" t="str">
        <f t="shared" si="2"/>
        <v>-</v>
      </c>
      <c r="AC7" s="1" t="str">
        <f t="shared" si="2"/>
        <v>-</v>
      </c>
      <c r="AE7" s="10">
        <v>122</v>
      </c>
      <c r="AF7">
        <v>233</v>
      </c>
      <c r="AG7">
        <v>223</v>
      </c>
      <c r="AH7">
        <v>232</v>
      </c>
      <c r="AI7">
        <v>222</v>
      </c>
      <c r="AJ7">
        <v>133</v>
      </c>
      <c r="AK7">
        <v>123</v>
      </c>
      <c r="AL7">
        <v>132</v>
      </c>
      <c r="AM7">
        <v>122</v>
      </c>
      <c r="AO7" s="12" t="s">
        <v>9</v>
      </c>
      <c r="AP7">
        <v>112</v>
      </c>
    </row>
    <row r="8" spans="1:42" x14ac:dyDescent="0.25">
      <c r="A8" t="s">
        <v>19</v>
      </c>
      <c r="B8" t="s">
        <v>19</v>
      </c>
      <c r="C8" t="s">
        <v>19</v>
      </c>
      <c r="D8" t="s">
        <v>17</v>
      </c>
      <c r="E8" t="s">
        <v>18</v>
      </c>
      <c r="F8" t="s">
        <v>19</v>
      </c>
      <c r="G8" t="s">
        <v>19</v>
      </c>
      <c r="J8" s="8">
        <f>211</f>
        <v>211</v>
      </c>
      <c r="K8" s="4" t="s">
        <v>12</v>
      </c>
      <c r="L8" s="4" t="s">
        <v>32</v>
      </c>
      <c r="M8" s="4">
        <v>2</v>
      </c>
      <c r="N8" s="1" t="s">
        <v>3</v>
      </c>
      <c r="O8" s="1">
        <v>211</v>
      </c>
      <c r="P8" s="1" t="s">
        <v>69</v>
      </c>
      <c r="Q8" s="1">
        <v>111</v>
      </c>
      <c r="R8" s="1" t="str">
        <f t="shared" ref="R8:AC12" si="3">"-"</f>
        <v>-</v>
      </c>
      <c r="S8" s="1" t="str">
        <f t="shared" si="3"/>
        <v>-</v>
      </c>
      <c r="T8" s="1" t="str">
        <f t="shared" si="3"/>
        <v>-</v>
      </c>
      <c r="U8" s="1" t="str">
        <f t="shared" si="3"/>
        <v>-</v>
      </c>
      <c r="V8" s="1" t="str">
        <f t="shared" si="1"/>
        <v>-</v>
      </c>
      <c r="W8" s="1" t="str">
        <f t="shared" si="1"/>
        <v>-</v>
      </c>
      <c r="X8" s="1" t="str">
        <f t="shared" si="1"/>
        <v>-</v>
      </c>
      <c r="Y8" s="1" t="str">
        <f t="shared" si="1"/>
        <v>-</v>
      </c>
      <c r="Z8" s="1" t="str">
        <f t="shared" si="1"/>
        <v>-</v>
      </c>
      <c r="AA8" s="1" t="str">
        <f t="shared" si="1"/>
        <v>-</v>
      </c>
      <c r="AB8" s="1" t="str">
        <f t="shared" si="1"/>
        <v>-</v>
      </c>
      <c r="AC8" s="1" t="str">
        <f t="shared" si="1"/>
        <v>-</v>
      </c>
      <c r="AE8" s="10">
        <v>112</v>
      </c>
      <c r="AF8">
        <v>223</v>
      </c>
      <c r="AG8">
        <v>213</v>
      </c>
      <c r="AH8">
        <v>222</v>
      </c>
      <c r="AI8">
        <v>212</v>
      </c>
      <c r="AJ8">
        <v>123</v>
      </c>
      <c r="AK8">
        <v>113</v>
      </c>
      <c r="AL8">
        <v>121</v>
      </c>
      <c r="AM8">
        <v>112</v>
      </c>
      <c r="AO8" s="12" t="s">
        <v>5</v>
      </c>
      <c r="AP8">
        <v>121</v>
      </c>
    </row>
    <row r="9" spans="1:42" x14ac:dyDescent="0.25">
      <c r="A9" t="s">
        <v>63</v>
      </c>
      <c r="B9" t="s">
        <v>16</v>
      </c>
      <c r="C9" t="s">
        <v>63</v>
      </c>
      <c r="D9" t="s">
        <v>55</v>
      </c>
      <c r="E9" t="s">
        <v>19</v>
      </c>
      <c r="F9" t="s">
        <v>16</v>
      </c>
      <c r="G9" t="s">
        <v>63</v>
      </c>
      <c r="J9" s="8">
        <f>111</f>
        <v>111</v>
      </c>
      <c r="K9" s="4" t="s">
        <v>2</v>
      </c>
      <c r="L9" s="4" t="s">
        <v>72</v>
      </c>
      <c r="M9" s="4">
        <v>1</v>
      </c>
      <c r="N9" s="1" t="s">
        <v>10</v>
      </c>
      <c r="O9" s="1">
        <v>111</v>
      </c>
      <c r="P9" s="1" t="str">
        <f t="shared" si="1"/>
        <v>-</v>
      </c>
      <c r="Q9" s="1" t="str">
        <f t="shared" ref="Q9" si="4">"-"</f>
        <v>-</v>
      </c>
      <c r="R9" s="1" t="str">
        <f t="shared" si="3"/>
        <v>-</v>
      </c>
      <c r="S9" s="1" t="str">
        <f t="shared" si="3"/>
        <v>-</v>
      </c>
      <c r="T9" s="1" t="str">
        <f t="shared" si="3"/>
        <v>-</v>
      </c>
      <c r="U9" s="1" t="str">
        <f t="shared" si="3"/>
        <v>-</v>
      </c>
      <c r="V9" s="1" t="str">
        <f t="shared" si="1"/>
        <v>-</v>
      </c>
      <c r="W9" s="1" t="str">
        <f t="shared" si="1"/>
        <v>-</v>
      </c>
      <c r="X9" s="1" t="str">
        <f t="shared" si="1"/>
        <v>-</v>
      </c>
      <c r="Y9" s="1" t="str">
        <f t="shared" si="1"/>
        <v>-</v>
      </c>
      <c r="Z9" s="1" t="str">
        <f t="shared" si="1"/>
        <v>-</v>
      </c>
      <c r="AA9" s="1" t="str">
        <f t="shared" si="1"/>
        <v>-</v>
      </c>
      <c r="AB9" s="1" t="str">
        <f t="shared" si="1"/>
        <v>-</v>
      </c>
      <c r="AC9" s="1" t="str">
        <f t="shared" si="1"/>
        <v>-</v>
      </c>
      <c r="AE9" s="10">
        <v>121</v>
      </c>
      <c r="AF9">
        <v>232</v>
      </c>
      <c r="AG9">
        <v>222</v>
      </c>
      <c r="AH9">
        <v>231</v>
      </c>
      <c r="AI9">
        <v>221</v>
      </c>
      <c r="AJ9">
        <v>132</v>
      </c>
      <c r="AK9">
        <v>122</v>
      </c>
      <c r="AL9">
        <v>131</v>
      </c>
      <c r="AM9">
        <v>121</v>
      </c>
      <c r="AO9" s="12" t="s">
        <v>10</v>
      </c>
      <c r="AP9">
        <v>111</v>
      </c>
    </row>
    <row r="10" spans="1:42" x14ac:dyDescent="0.25">
      <c r="A10" t="s">
        <v>62</v>
      </c>
      <c r="B10" t="s">
        <v>106</v>
      </c>
      <c r="C10" t="s">
        <v>62</v>
      </c>
      <c r="D10" t="s">
        <v>56</v>
      </c>
      <c r="E10" t="s">
        <v>63</v>
      </c>
      <c r="F10" t="s">
        <v>106</v>
      </c>
      <c r="G10" t="s">
        <v>62</v>
      </c>
      <c r="J10" s="8">
        <f>113</f>
        <v>113</v>
      </c>
      <c r="K10" s="4" t="s">
        <v>15</v>
      </c>
      <c r="L10" s="4" t="s">
        <v>72</v>
      </c>
      <c r="M10" s="4">
        <v>1</v>
      </c>
      <c r="N10" s="1" t="s">
        <v>9</v>
      </c>
      <c r="O10" s="1">
        <v>112</v>
      </c>
      <c r="P10" s="1" t="str">
        <f t="shared" si="1"/>
        <v>-</v>
      </c>
      <c r="Q10" s="1" t="str">
        <f t="shared" si="1"/>
        <v>-</v>
      </c>
      <c r="R10" s="1" t="str">
        <f t="shared" si="3"/>
        <v>-</v>
      </c>
      <c r="S10" s="1" t="str">
        <f t="shared" si="3"/>
        <v>-</v>
      </c>
      <c r="T10" s="1" t="str">
        <f t="shared" si="3"/>
        <v>-</v>
      </c>
      <c r="U10" s="1" t="str">
        <f t="shared" si="3"/>
        <v>-</v>
      </c>
      <c r="V10" s="1" t="str">
        <f t="shared" si="1"/>
        <v>-</v>
      </c>
      <c r="W10" s="1" t="str">
        <f t="shared" si="1"/>
        <v>-</v>
      </c>
      <c r="X10" s="1" t="str">
        <f t="shared" si="1"/>
        <v>-</v>
      </c>
      <c r="Y10" s="1" t="str">
        <f t="shared" si="1"/>
        <v>-</v>
      </c>
      <c r="Z10" s="1" t="str">
        <f t="shared" si="1"/>
        <v>-</v>
      </c>
      <c r="AA10" s="1" t="str">
        <f t="shared" si="1"/>
        <v>-</v>
      </c>
      <c r="AB10" s="1" t="str">
        <f t="shared" si="1"/>
        <v>-</v>
      </c>
      <c r="AC10" s="1" t="str">
        <f t="shared" si="1"/>
        <v>-</v>
      </c>
      <c r="AE10" s="10">
        <v>111</v>
      </c>
      <c r="AF10">
        <v>222</v>
      </c>
      <c r="AG10">
        <v>212</v>
      </c>
      <c r="AH10">
        <v>221</v>
      </c>
      <c r="AI10">
        <v>211</v>
      </c>
      <c r="AJ10">
        <v>122</v>
      </c>
      <c r="AK10">
        <v>112</v>
      </c>
      <c r="AL10">
        <v>121</v>
      </c>
      <c r="AM10">
        <v>111</v>
      </c>
      <c r="AO10" t="str">
        <f>"-"</f>
        <v>-</v>
      </c>
    </row>
    <row r="11" spans="1:42" x14ac:dyDescent="0.25">
      <c r="A11" t="s">
        <v>61</v>
      </c>
      <c r="B11" t="s">
        <v>107</v>
      </c>
      <c r="C11" t="s">
        <v>16</v>
      </c>
      <c r="D11" t="s">
        <v>106</v>
      </c>
      <c r="E11" t="s">
        <v>62</v>
      </c>
      <c r="F11" t="s">
        <v>107</v>
      </c>
      <c r="G11" t="s">
        <v>61</v>
      </c>
      <c r="J11" s="8">
        <f>131</f>
        <v>131</v>
      </c>
      <c r="K11" s="4" t="s">
        <v>20</v>
      </c>
      <c r="L11" s="4" t="s">
        <v>72</v>
      </c>
      <c r="M11" s="4">
        <v>1</v>
      </c>
      <c r="N11" s="1" t="s">
        <v>5</v>
      </c>
      <c r="O11" s="1">
        <v>121</v>
      </c>
      <c r="P11" s="1" t="str">
        <f t="shared" si="1"/>
        <v>-</v>
      </c>
      <c r="Q11" s="1" t="str">
        <f t="shared" si="1"/>
        <v>-</v>
      </c>
      <c r="R11" s="1" t="str">
        <f t="shared" si="3"/>
        <v>-</v>
      </c>
      <c r="S11" s="1" t="str">
        <f t="shared" si="3"/>
        <v>-</v>
      </c>
      <c r="T11" s="1" t="str">
        <f t="shared" si="3"/>
        <v>-</v>
      </c>
      <c r="U11" s="1" t="str">
        <f t="shared" si="3"/>
        <v>-</v>
      </c>
      <c r="V11" s="1" t="str">
        <f t="shared" si="1"/>
        <v>-</v>
      </c>
      <c r="W11" s="1" t="str">
        <f t="shared" si="1"/>
        <v>-</v>
      </c>
      <c r="X11" s="1" t="str">
        <f t="shared" si="1"/>
        <v>-</v>
      </c>
      <c r="Y11" s="1" t="str">
        <f t="shared" si="1"/>
        <v>-</v>
      </c>
      <c r="Z11" s="1" t="str">
        <f t="shared" si="1"/>
        <v>-</v>
      </c>
      <c r="AA11" s="1" t="str">
        <f t="shared" si="1"/>
        <v>-</v>
      </c>
      <c r="AB11" s="1" t="str">
        <f t="shared" si="1"/>
        <v>-</v>
      </c>
      <c r="AC11" s="1" t="str">
        <f t="shared" si="1"/>
        <v>-</v>
      </c>
    </row>
    <row r="12" spans="1:42" x14ac:dyDescent="0.25">
      <c r="A12" t="s">
        <v>73</v>
      </c>
      <c r="B12" t="s">
        <v>108</v>
      </c>
      <c r="C12" t="s">
        <v>17</v>
      </c>
      <c r="D12" t="s">
        <v>107</v>
      </c>
      <c r="E12" t="s">
        <v>61</v>
      </c>
      <c r="F12" t="s">
        <v>108</v>
      </c>
      <c r="G12" t="s">
        <v>73</v>
      </c>
      <c r="J12" s="8">
        <f>133</f>
        <v>133</v>
      </c>
      <c r="K12" s="4" t="s">
        <v>21</v>
      </c>
      <c r="L12" s="4" t="s">
        <v>72</v>
      </c>
      <c r="M12" s="4">
        <v>1</v>
      </c>
      <c r="N12" s="1" t="s">
        <v>4</v>
      </c>
      <c r="O12" s="1">
        <v>122</v>
      </c>
      <c r="P12" s="1" t="str">
        <f t="shared" si="1"/>
        <v>-</v>
      </c>
      <c r="Q12" s="1" t="str">
        <f t="shared" si="1"/>
        <v>-</v>
      </c>
      <c r="R12" s="1" t="str">
        <f t="shared" si="3"/>
        <v>-</v>
      </c>
      <c r="S12" s="1" t="str">
        <f t="shared" si="3"/>
        <v>-</v>
      </c>
      <c r="T12" s="1" t="str">
        <f t="shared" si="3"/>
        <v>-</v>
      </c>
      <c r="U12" s="1" t="str">
        <f t="shared" si="3"/>
        <v>-</v>
      </c>
      <c r="V12" s="1" t="str">
        <f t="shared" si="1"/>
        <v>-</v>
      </c>
      <c r="W12" s="1" t="str">
        <f t="shared" si="1"/>
        <v>-</v>
      </c>
      <c r="X12" s="1" t="str">
        <f t="shared" si="1"/>
        <v>-</v>
      </c>
      <c r="Y12" s="1" t="str">
        <f t="shared" si="1"/>
        <v>-</v>
      </c>
      <c r="Z12" s="1" t="str">
        <f t="shared" si="1"/>
        <v>-</v>
      </c>
      <c r="AA12" s="1" t="str">
        <f t="shared" si="1"/>
        <v>-</v>
      </c>
      <c r="AB12" s="1" t="str">
        <f t="shared" si="1"/>
        <v>-</v>
      </c>
      <c r="AC12" s="1" t="str">
        <f t="shared" si="1"/>
        <v>-</v>
      </c>
    </row>
    <row r="13" spans="1:42" x14ac:dyDescent="0.25">
      <c r="A13" t="s">
        <v>65</v>
      </c>
      <c r="B13" t="s">
        <v>87</v>
      </c>
      <c r="C13" t="s">
        <v>55</v>
      </c>
      <c r="D13" t="s">
        <v>108</v>
      </c>
      <c r="E13" t="s">
        <v>106</v>
      </c>
      <c r="F13" t="s">
        <v>87</v>
      </c>
      <c r="G13" t="s">
        <v>65</v>
      </c>
      <c r="J13" s="8">
        <f>322</f>
        <v>322</v>
      </c>
      <c r="K13" s="4" t="s">
        <v>23</v>
      </c>
      <c r="L13" s="4" t="s">
        <v>33</v>
      </c>
      <c r="M13" s="4">
        <v>4</v>
      </c>
      <c r="N13" s="1" t="s">
        <v>25</v>
      </c>
      <c r="O13" s="1">
        <v>222</v>
      </c>
      <c r="P13" s="1" t="s">
        <v>49</v>
      </c>
      <c r="Q13" s="1">
        <v>212</v>
      </c>
      <c r="R13" s="1" t="s">
        <v>50</v>
      </c>
      <c r="S13" s="1">
        <v>221</v>
      </c>
      <c r="T13" s="1" t="s">
        <v>3</v>
      </c>
      <c r="U13" s="1">
        <v>211</v>
      </c>
      <c r="V13" s="1" t="str">
        <f t="shared" si="1"/>
        <v>-</v>
      </c>
      <c r="W13" s="1" t="str">
        <f t="shared" si="1"/>
        <v>-</v>
      </c>
      <c r="X13" s="1" t="str">
        <f t="shared" si="1"/>
        <v>-</v>
      </c>
      <c r="Y13" s="1" t="str">
        <f t="shared" si="1"/>
        <v>-</v>
      </c>
      <c r="Z13" s="1" t="str">
        <f t="shared" si="1"/>
        <v>-</v>
      </c>
      <c r="AA13" s="1" t="str">
        <f t="shared" si="1"/>
        <v>-</v>
      </c>
      <c r="AB13" s="1" t="str">
        <f t="shared" si="1"/>
        <v>-</v>
      </c>
      <c r="AC13" s="1" t="str">
        <f t="shared" si="1"/>
        <v>-</v>
      </c>
    </row>
    <row r="14" spans="1:42" x14ac:dyDescent="0.25">
      <c r="A14" t="s">
        <v>16</v>
      </c>
      <c r="B14" t="s">
        <v>58</v>
      </c>
      <c r="C14" t="s">
        <v>87</v>
      </c>
      <c r="D14" t="s">
        <v>116</v>
      </c>
      <c r="E14" t="s">
        <v>107</v>
      </c>
      <c r="F14" t="s">
        <v>58</v>
      </c>
      <c r="G14" t="s">
        <v>60</v>
      </c>
      <c r="J14" s="8">
        <f>321</f>
        <v>321</v>
      </c>
      <c r="K14" s="4" t="s">
        <v>24</v>
      </c>
      <c r="L14" s="4" t="s">
        <v>34</v>
      </c>
      <c r="M14" s="4">
        <v>2</v>
      </c>
      <c r="N14" s="1" t="s">
        <v>50</v>
      </c>
      <c r="O14" s="1">
        <v>221</v>
      </c>
      <c r="P14" s="1" t="s">
        <v>3</v>
      </c>
      <c r="Q14" s="1">
        <v>211</v>
      </c>
      <c r="R14" s="1" t="str">
        <f t="shared" ref="R14:U16" si="5">"-"</f>
        <v>-</v>
      </c>
      <c r="S14" s="1" t="str">
        <f t="shared" si="5"/>
        <v>-</v>
      </c>
      <c r="T14" s="1" t="str">
        <f t="shared" si="5"/>
        <v>-</v>
      </c>
      <c r="U14" s="1" t="str">
        <f t="shared" si="5"/>
        <v>-</v>
      </c>
      <c r="V14" s="1" t="str">
        <f t="shared" si="1"/>
        <v>-</v>
      </c>
      <c r="W14" s="1" t="str">
        <f t="shared" si="1"/>
        <v>-</v>
      </c>
      <c r="X14" s="1" t="str">
        <f t="shared" si="1"/>
        <v>-</v>
      </c>
      <c r="Y14" s="1" t="str">
        <f t="shared" si="1"/>
        <v>-</v>
      </c>
      <c r="Z14" s="1" t="str">
        <f t="shared" si="1"/>
        <v>-</v>
      </c>
      <c r="AA14" s="1" t="str">
        <f t="shared" si="1"/>
        <v>-</v>
      </c>
      <c r="AB14" s="1" t="str">
        <f t="shared" si="1"/>
        <v>-</v>
      </c>
      <c r="AC14" s="1" t="str">
        <f t="shared" si="1"/>
        <v>-</v>
      </c>
    </row>
    <row r="15" spans="1:42" x14ac:dyDescent="0.25">
      <c r="A15" t="s">
        <v>17</v>
      </c>
      <c r="B15" t="s">
        <v>57</v>
      </c>
      <c r="C15" t="s">
        <v>58</v>
      </c>
      <c r="D15" t="s">
        <v>117</v>
      </c>
      <c r="E15" t="s">
        <v>108</v>
      </c>
      <c r="F15" t="s">
        <v>57</v>
      </c>
      <c r="G15" t="s">
        <v>16</v>
      </c>
      <c r="J15" s="8">
        <f>312</f>
        <v>312</v>
      </c>
      <c r="K15" s="4" t="s">
        <v>13</v>
      </c>
      <c r="L15" s="4" t="s">
        <v>29</v>
      </c>
      <c r="M15" s="4">
        <v>2</v>
      </c>
      <c r="N15" s="1" t="s">
        <v>49</v>
      </c>
      <c r="O15" s="1">
        <v>212</v>
      </c>
      <c r="P15" s="1" t="s">
        <v>3</v>
      </c>
      <c r="Q15" s="1">
        <v>211</v>
      </c>
      <c r="R15" s="1" t="str">
        <f t="shared" si="5"/>
        <v>-</v>
      </c>
      <c r="S15" s="1" t="str">
        <f t="shared" si="5"/>
        <v>-</v>
      </c>
      <c r="T15" s="1" t="str">
        <f t="shared" si="5"/>
        <v>-</v>
      </c>
      <c r="U15" s="1" t="str">
        <f t="shared" si="5"/>
        <v>-</v>
      </c>
      <c r="V15" s="1" t="str">
        <f t="shared" si="1"/>
        <v>-</v>
      </c>
      <c r="W15" s="1" t="str">
        <f t="shared" si="1"/>
        <v>-</v>
      </c>
      <c r="X15" s="1" t="str">
        <f t="shared" si="1"/>
        <v>-</v>
      </c>
      <c r="Y15" s="1" t="str">
        <f t="shared" si="1"/>
        <v>-</v>
      </c>
      <c r="Z15" s="1" t="str">
        <f t="shared" si="1"/>
        <v>-</v>
      </c>
      <c r="AA15" s="1" t="str">
        <f t="shared" si="1"/>
        <v>-</v>
      </c>
      <c r="AB15" s="1" t="str">
        <f t="shared" si="1"/>
        <v>-</v>
      </c>
      <c r="AC15" s="1" t="str">
        <f t="shared" si="1"/>
        <v>-</v>
      </c>
    </row>
    <row r="16" spans="1:42" x14ac:dyDescent="0.25">
      <c r="A16" t="s">
        <v>55</v>
      </c>
      <c r="B16" t="s">
        <v>59</v>
      </c>
      <c r="C16" t="s">
        <v>40</v>
      </c>
      <c r="D16" t="s">
        <v>118</v>
      </c>
      <c r="E16" t="s">
        <v>87</v>
      </c>
      <c r="F16" t="s">
        <v>59</v>
      </c>
      <c r="G16" t="s">
        <v>17</v>
      </c>
      <c r="J16" s="8">
        <f>233</f>
        <v>233</v>
      </c>
      <c r="K16" s="4" t="s">
        <v>27</v>
      </c>
      <c r="L16" s="4" t="s">
        <v>32</v>
      </c>
      <c r="M16" s="4">
        <v>2</v>
      </c>
      <c r="N16" s="1" t="s">
        <v>25</v>
      </c>
      <c r="O16" s="1">
        <v>222</v>
      </c>
      <c r="P16" s="1" t="s">
        <v>4</v>
      </c>
      <c r="Q16" s="1">
        <v>122</v>
      </c>
      <c r="R16" s="1" t="str">
        <f t="shared" si="5"/>
        <v>-</v>
      </c>
      <c r="S16" s="1" t="str">
        <f t="shared" si="5"/>
        <v>-</v>
      </c>
      <c r="T16" s="1" t="str">
        <f t="shared" si="5"/>
        <v>-</v>
      </c>
      <c r="U16" s="1" t="str">
        <f t="shared" si="5"/>
        <v>-</v>
      </c>
      <c r="V16" s="1" t="str">
        <f t="shared" si="1"/>
        <v>-</v>
      </c>
      <c r="W16" s="1" t="str">
        <f t="shared" si="1"/>
        <v>-</v>
      </c>
      <c r="X16" s="1" t="str">
        <f t="shared" si="1"/>
        <v>-</v>
      </c>
      <c r="Y16" s="1" t="str">
        <f t="shared" si="1"/>
        <v>-</v>
      </c>
      <c r="Z16" s="1" t="str">
        <f t="shared" si="1"/>
        <v>-</v>
      </c>
      <c r="AA16" s="1" t="str">
        <f t="shared" si="1"/>
        <v>-</v>
      </c>
      <c r="AB16" s="1" t="str">
        <f t="shared" si="1"/>
        <v>-</v>
      </c>
      <c r="AC16" s="1" t="str">
        <f t="shared" si="1"/>
        <v>-</v>
      </c>
    </row>
    <row r="17" spans="1:29" x14ac:dyDescent="0.25">
      <c r="A17" t="s">
        <v>56</v>
      </c>
      <c r="B17" t="s">
        <v>109</v>
      </c>
      <c r="C17" t="s">
        <v>41</v>
      </c>
      <c r="D17" t="s">
        <v>87</v>
      </c>
      <c r="E17" t="s">
        <v>58</v>
      </c>
      <c r="F17" t="s">
        <v>40</v>
      </c>
      <c r="G17" t="s">
        <v>55</v>
      </c>
      <c r="J17" s="8">
        <f>223</f>
        <v>223</v>
      </c>
      <c r="K17" s="4" t="s">
        <v>28</v>
      </c>
      <c r="L17" s="4" t="s">
        <v>30</v>
      </c>
      <c r="M17" s="4">
        <v>4</v>
      </c>
      <c r="N17" s="1" t="s">
        <v>25</v>
      </c>
      <c r="O17" s="1">
        <v>222</v>
      </c>
      <c r="P17" s="1" t="s">
        <v>49</v>
      </c>
      <c r="Q17" s="1">
        <v>212</v>
      </c>
      <c r="R17" s="1" t="s">
        <v>4</v>
      </c>
      <c r="S17" s="1">
        <v>122</v>
      </c>
      <c r="T17" s="1" t="s">
        <v>9</v>
      </c>
      <c r="U17" s="1">
        <v>112</v>
      </c>
      <c r="V17" s="1" t="str">
        <f t="shared" si="1"/>
        <v>-</v>
      </c>
      <c r="W17" s="1" t="str">
        <f t="shared" si="1"/>
        <v>-</v>
      </c>
      <c r="X17" s="1" t="str">
        <f t="shared" si="1"/>
        <v>-</v>
      </c>
      <c r="Y17" s="1" t="str">
        <f t="shared" si="1"/>
        <v>-</v>
      </c>
      <c r="Z17" s="1" t="str">
        <f t="shared" si="1"/>
        <v>-</v>
      </c>
      <c r="AA17" s="1" t="str">
        <f t="shared" si="1"/>
        <v>-</v>
      </c>
      <c r="AB17" s="1" t="str">
        <f t="shared" si="1"/>
        <v>-</v>
      </c>
      <c r="AC17" s="1" t="str">
        <f t="shared" si="1"/>
        <v>-</v>
      </c>
    </row>
    <row r="18" spans="1:29" x14ac:dyDescent="0.25">
      <c r="A18" t="s">
        <v>87</v>
      </c>
      <c r="B18" t="s">
        <v>42</v>
      </c>
      <c r="C18" t="s">
        <v>52</v>
      </c>
      <c r="D18" t="s">
        <v>58</v>
      </c>
      <c r="E18" t="s">
        <v>57</v>
      </c>
      <c r="F18" t="s">
        <v>41</v>
      </c>
      <c r="G18" t="s">
        <v>56</v>
      </c>
      <c r="J18" s="8">
        <v>232</v>
      </c>
      <c r="K18" s="4" t="s">
        <v>35</v>
      </c>
      <c r="L18" s="4" t="s">
        <v>31</v>
      </c>
      <c r="M18" s="4">
        <v>4</v>
      </c>
      <c r="N18" s="1" t="s">
        <v>25</v>
      </c>
      <c r="O18" s="1">
        <v>222</v>
      </c>
      <c r="P18" s="1" t="s">
        <v>3</v>
      </c>
      <c r="Q18" s="1">
        <v>211</v>
      </c>
      <c r="R18" s="1" t="s">
        <v>4</v>
      </c>
      <c r="S18" s="1">
        <v>122</v>
      </c>
      <c r="T18" s="1" t="s">
        <v>5</v>
      </c>
      <c r="U18" s="1">
        <v>121</v>
      </c>
      <c r="V18" s="1" t="str">
        <f t="shared" si="1"/>
        <v>-</v>
      </c>
      <c r="W18" s="1" t="str">
        <f t="shared" si="1"/>
        <v>-</v>
      </c>
      <c r="X18" s="1" t="str">
        <f t="shared" si="1"/>
        <v>-</v>
      </c>
      <c r="Y18" s="1" t="str">
        <f t="shared" si="1"/>
        <v>-</v>
      </c>
      <c r="Z18" s="1" t="str">
        <f t="shared" si="1"/>
        <v>-</v>
      </c>
      <c r="AA18" s="1" t="str">
        <f t="shared" si="1"/>
        <v>-</v>
      </c>
      <c r="AB18" s="1" t="str">
        <f t="shared" si="1"/>
        <v>-</v>
      </c>
      <c r="AC18" s="1" t="str">
        <f t="shared" si="1"/>
        <v>-</v>
      </c>
    </row>
    <row r="19" spans="1:29" x14ac:dyDescent="0.25">
      <c r="A19" t="s">
        <v>58</v>
      </c>
      <c r="B19" t="s">
        <v>43</v>
      </c>
      <c r="C19" t="s">
        <v>88</v>
      </c>
      <c r="D19" t="s">
        <v>57</v>
      </c>
      <c r="E19" t="s">
        <v>59</v>
      </c>
      <c r="F19" t="s">
        <v>52</v>
      </c>
      <c r="G19" t="s">
        <v>120</v>
      </c>
      <c r="J19" s="8">
        <v>213</v>
      </c>
      <c r="K19" s="4" t="s">
        <v>36</v>
      </c>
      <c r="L19" s="4" t="s">
        <v>32</v>
      </c>
      <c r="M19" s="4">
        <v>2</v>
      </c>
      <c r="N19" s="1" t="s">
        <v>49</v>
      </c>
      <c r="O19" s="1">
        <v>212</v>
      </c>
      <c r="P19" s="1" t="s">
        <v>9</v>
      </c>
      <c r="Q19" s="1">
        <v>112</v>
      </c>
      <c r="R19" s="1" t="str">
        <f t="shared" si="1"/>
        <v>-</v>
      </c>
      <c r="S19" s="1" t="str">
        <f t="shared" ref="S19:U20" si="6">"-"</f>
        <v>-</v>
      </c>
      <c r="T19" s="1" t="str">
        <f t="shared" si="6"/>
        <v>-</v>
      </c>
      <c r="U19" s="1" t="str">
        <f t="shared" si="6"/>
        <v>-</v>
      </c>
      <c r="V19" s="1" t="str">
        <f t="shared" si="1"/>
        <v>-</v>
      </c>
      <c r="W19" s="1" t="str">
        <f t="shared" si="1"/>
        <v>-</v>
      </c>
      <c r="X19" s="1" t="str">
        <f t="shared" si="1"/>
        <v>-</v>
      </c>
      <c r="Y19" s="1" t="str">
        <f t="shared" si="1"/>
        <v>-</v>
      </c>
      <c r="Z19" s="1" t="str">
        <f t="shared" si="1"/>
        <v>-</v>
      </c>
      <c r="AA19" s="1" t="str">
        <f t="shared" si="1"/>
        <v>-</v>
      </c>
      <c r="AB19" s="1" t="str">
        <f t="shared" si="1"/>
        <v>-</v>
      </c>
      <c r="AC19" s="1" t="str">
        <f t="shared" si="1"/>
        <v>-</v>
      </c>
    </row>
    <row r="20" spans="1:29" x14ac:dyDescent="0.25">
      <c r="A20" t="s">
        <v>57</v>
      </c>
      <c r="B20" t="s">
        <v>54</v>
      </c>
      <c r="C20" t="s">
        <v>89</v>
      </c>
      <c r="D20" t="s">
        <v>59</v>
      </c>
      <c r="E20" t="s">
        <v>109</v>
      </c>
      <c r="F20" t="s">
        <v>88</v>
      </c>
      <c r="G20" t="s">
        <v>106</v>
      </c>
      <c r="J20" s="8">
        <v>231</v>
      </c>
      <c r="K20" s="4" t="s">
        <v>37</v>
      </c>
      <c r="L20" s="4" t="s">
        <v>32</v>
      </c>
      <c r="M20" s="4">
        <v>2</v>
      </c>
      <c r="N20" s="1" t="s">
        <v>3</v>
      </c>
      <c r="O20" s="1">
        <v>211</v>
      </c>
      <c r="P20" s="1" t="s">
        <v>5</v>
      </c>
      <c r="Q20" s="1">
        <v>121</v>
      </c>
      <c r="R20" s="1" t="str">
        <f t="shared" ref="R20:AB20" si="7">"-"</f>
        <v>-</v>
      </c>
      <c r="S20" s="1" t="str">
        <f t="shared" si="6"/>
        <v>-</v>
      </c>
      <c r="T20" s="1" t="str">
        <f t="shared" si="6"/>
        <v>-</v>
      </c>
      <c r="U20" s="1" t="str">
        <f t="shared" si="6"/>
        <v>-</v>
      </c>
      <c r="V20" s="1" t="str">
        <f t="shared" si="1"/>
        <v>-</v>
      </c>
      <c r="W20" s="1" t="str">
        <f t="shared" si="1"/>
        <v>-</v>
      </c>
      <c r="X20" s="1" t="str">
        <f t="shared" si="1"/>
        <v>-</v>
      </c>
      <c r="Y20" s="1" t="str">
        <f t="shared" si="1"/>
        <v>-</v>
      </c>
      <c r="Z20" s="1" t="str">
        <f t="shared" si="1"/>
        <v>-</v>
      </c>
      <c r="AA20" s="1" t="str">
        <f t="shared" si="1"/>
        <v>-</v>
      </c>
      <c r="AB20" s="1" t="str">
        <f t="shared" si="1"/>
        <v>-</v>
      </c>
      <c r="AC20" s="1" t="str">
        <f t="shared" si="1"/>
        <v>-</v>
      </c>
    </row>
    <row r="21" spans="1:29" x14ac:dyDescent="0.25">
      <c r="A21" t="s">
        <v>59</v>
      </c>
      <c r="B21" t="s">
        <v>53</v>
      </c>
      <c r="C21" t="s">
        <v>90</v>
      </c>
      <c r="D21" t="s">
        <v>109</v>
      </c>
      <c r="E21" t="s">
        <v>40</v>
      </c>
      <c r="F21" t="s">
        <v>42</v>
      </c>
      <c r="G21" t="s">
        <v>107</v>
      </c>
      <c r="J21" s="8">
        <f>122</f>
        <v>122</v>
      </c>
      <c r="K21" s="4" t="s">
        <v>22</v>
      </c>
      <c r="L21" s="4" t="s">
        <v>33</v>
      </c>
      <c r="M21" s="4">
        <v>4</v>
      </c>
      <c r="N21" s="1" t="s">
        <v>4</v>
      </c>
      <c r="O21" s="1">
        <v>122</v>
      </c>
      <c r="P21" s="1" t="s">
        <v>9</v>
      </c>
      <c r="Q21" s="1">
        <v>112</v>
      </c>
      <c r="R21" s="1" t="s">
        <v>5</v>
      </c>
      <c r="S21" s="1">
        <v>121</v>
      </c>
      <c r="T21" s="1" t="s">
        <v>10</v>
      </c>
      <c r="U21" s="1">
        <v>111</v>
      </c>
      <c r="V21" s="1" t="str">
        <f t="shared" si="1"/>
        <v>-</v>
      </c>
      <c r="W21" s="1" t="str">
        <f t="shared" si="1"/>
        <v>-</v>
      </c>
      <c r="X21" s="1" t="str">
        <f t="shared" si="1"/>
        <v>-</v>
      </c>
      <c r="Y21" s="1" t="str">
        <f t="shared" si="1"/>
        <v>-</v>
      </c>
      <c r="Z21" s="1" t="str">
        <f t="shared" si="1"/>
        <v>-</v>
      </c>
      <c r="AA21" s="1" t="str">
        <f t="shared" si="1"/>
        <v>-</v>
      </c>
      <c r="AB21" s="1" t="str">
        <f t="shared" si="1"/>
        <v>-</v>
      </c>
      <c r="AC21" s="1" t="str">
        <f t="shared" si="1"/>
        <v>-</v>
      </c>
    </row>
    <row r="22" spans="1:29" x14ac:dyDescent="0.25">
      <c r="A22" t="s">
        <v>40</v>
      </c>
      <c r="B22" t="s">
        <v>92</v>
      </c>
      <c r="C22" t="s">
        <v>91</v>
      </c>
      <c r="D22" t="s">
        <v>40</v>
      </c>
      <c r="E22" t="s">
        <v>42</v>
      </c>
      <c r="F22" t="s">
        <v>43</v>
      </c>
      <c r="G22" t="s">
        <v>108</v>
      </c>
      <c r="J22" s="8">
        <f>121</f>
        <v>121</v>
      </c>
      <c r="K22" s="4" t="s">
        <v>38</v>
      </c>
      <c r="L22" s="4" t="s">
        <v>34</v>
      </c>
      <c r="M22" s="4">
        <v>2</v>
      </c>
      <c r="N22" s="1" t="s">
        <v>5</v>
      </c>
      <c r="O22" s="1">
        <v>121</v>
      </c>
      <c r="P22" s="1" t="s">
        <v>10</v>
      </c>
      <c r="Q22" s="1">
        <v>111</v>
      </c>
      <c r="R22" s="1" t="str">
        <f t="shared" ref="R22:U29" si="8">"-"</f>
        <v>-</v>
      </c>
      <c r="S22" s="1" t="str">
        <f t="shared" si="8"/>
        <v>-</v>
      </c>
      <c r="T22" s="1" t="str">
        <f t="shared" si="8"/>
        <v>-</v>
      </c>
      <c r="U22" s="1" t="str">
        <f t="shared" si="8"/>
        <v>-</v>
      </c>
      <c r="V22" s="1" t="str">
        <f t="shared" si="1"/>
        <v>-</v>
      </c>
      <c r="W22" s="1" t="str">
        <f t="shared" si="1"/>
        <v>-</v>
      </c>
      <c r="X22" s="1" t="str">
        <f t="shared" si="1"/>
        <v>-</v>
      </c>
      <c r="Y22" s="1" t="str">
        <f t="shared" si="1"/>
        <v>-</v>
      </c>
      <c r="Z22" s="1" t="str">
        <f t="shared" si="1"/>
        <v>-</v>
      </c>
      <c r="AA22" s="1" t="str">
        <f t="shared" si="1"/>
        <v>-</v>
      </c>
      <c r="AB22" s="1" t="str">
        <f t="shared" si="1"/>
        <v>-</v>
      </c>
      <c r="AC22" s="1" t="str">
        <f t="shared" si="1"/>
        <v>-</v>
      </c>
    </row>
    <row r="23" spans="1:29" x14ac:dyDescent="0.25">
      <c r="A23" t="s">
        <v>41</v>
      </c>
      <c r="B23" t="s">
        <v>93</v>
      </c>
      <c r="C23" t="s">
        <v>42</v>
      </c>
      <c r="D23" t="s">
        <v>41</v>
      </c>
      <c r="E23" t="s">
        <v>43</v>
      </c>
      <c r="F23" t="s">
        <v>54</v>
      </c>
      <c r="G23" t="s">
        <v>87</v>
      </c>
      <c r="J23" s="8">
        <f>123</f>
        <v>123</v>
      </c>
      <c r="K23" s="4" t="s">
        <v>39</v>
      </c>
      <c r="L23" s="4" t="s">
        <v>34</v>
      </c>
      <c r="M23" s="4">
        <v>2</v>
      </c>
      <c r="N23" s="1" t="s">
        <v>4</v>
      </c>
      <c r="O23" s="1">
        <v>122</v>
      </c>
      <c r="P23" s="1" t="s">
        <v>9</v>
      </c>
      <c r="Q23" s="1">
        <v>112</v>
      </c>
      <c r="R23" s="1" t="str">
        <f t="shared" si="8"/>
        <v>-</v>
      </c>
      <c r="S23" s="1" t="str">
        <f t="shared" si="8"/>
        <v>-</v>
      </c>
      <c r="T23" s="1" t="str">
        <f t="shared" si="8"/>
        <v>-</v>
      </c>
      <c r="U23" s="1" t="str">
        <f t="shared" si="8"/>
        <v>-</v>
      </c>
      <c r="V23" s="1" t="str">
        <f t="shared" si="1"/>
        <v>-</v>
      </c>
      <c r="W23" s="1" t="str">
        <f t="shared" si="1"/>
        <v>-</v>
      </c>
      <c r="X23" s="1" t="str">
        <f t="shared" si="1"/>
        <v>-</v>
      </c>
      <c r="Y23" s="1" t="str">
        <f t="shared" si="1"/>
        <v>-</v>
      </c>
      <c r="Z23" s="1" t="str">
        <f t="shared" si="1"/>
        <v>-</v>
      </c>
      <c r="AA23" s="1" t="str">
        <f t="shared" si="1"/>
        <v>-</v>
      </c>
      <c r="AB23" s="1" t="str">
        <f t="shared" si="1"/>
        <v>-</v>
      </c>
      <c r="AC23" s="1" t="str">
        <f t="shared" si="1"/>
        <v>-</v>
      </c>
    </row>
    <row r="24" spans="1:29" x14ac:dyDescent="0.25">
      <c r="A24" t="s">
        <v>52</v>
      </c>
      <c r="B24" t="s">
        <v>110</v>
      </c>
      <c r="C24" t="s">
        <v>43</v>
      </c>
      <c r="D24" t="s">
        <v>42</v>
      </c>
      <c r="E24" t="s">
        <v>54</v>
      </c>
      <c r="F24" t="s">
        <v>53</v>
      </c>
      <c r="G24" t="s">
        <v>58</v>
      </c>
      <c r="J24" s="8">
        <f>313</f>
        <v>313</v>
      </c>
      <c r="K24" s="4" t="s">
        <v>14</v>
      </c>
      <c r="L24" s="1" t="s">
        <v>72</v>
      </c>
      <c r="M24" s="1">
        <v>1</v>
      </c>
      <c r="N24" s="1" t="s">
        <v>49</v>
      </c>
      <c r="O24" s="1">
        <v>212</v>
      </c>
      <c r="P24" s="1" t="str">
        <f t="shared" si="1"/>
        <v>-</v>
      </c>
      <c r="Q24" s="1" t="str">
        <f>"-"</f>
        <v>-</v>
      </c>
      <c r="R24" s="1" t="str">
        <f t="shared" si="8"/>
        <v>-</v>
      </c>
      <c r="S24" s="1" t="str">
        <f t="shared" si="8"/>
        <v>-</v>
      </c>
      <c r="T24" s="1" t="str">
        <f t="shared" si="8"/>
        <v>-</v>
      </c>
      <c r="U24" s="1" t="str">
        <f t="shared" si="8"/>
        <v>-</v>
      </c>
      <c r="V24" s="1" t="str">
        <f t="shared" si="1"/>
        <v>-</v>
      </c>
      <c r="W24" s="1" t="str">
        <f t="shared" si="1"/>
        <v>-</v>
      </c>
      <c r="X24" s="1" t="str">
        <f t="shared" si="1"/>
        <v>-</v>
      </c>
      <c r="Y24" s="1" t="str">
        <f t="shared" si="1"/>
        <v>-</v>
      </c>
      <c r="Z24" s="1" t="str">
        <f t="shared" si="1"/>
        <v>-</v>
      </c>
      <c r="AA24" s="1" t="str">
        <f t="shared" ref="AA24:AC29" si="9">"-"</f>
        <v>-</v>
      </c>
      <c r="AB24" s="1" t="str">
        <f t="shared" si="9"/>
        <v>-</v>
      </c>
      <c r="AC24" s="1" t="str">
        <f t="shared" si="9"/>
        <v>-</v>
      </c>
    </row>
    <row r="25" spans="1:29" x14ac:dyDescent="0.25">
      <c r="A25" t="s">
        <v>42</v>
      </c>
      <c r="B25" t="s">
        <v>113</v>
      </c>
      <c r="C25" t="s">
        <v>54</v>
      </c>
      <c r="D25" t="s">
        <v>43</v>
      </c>
      <c r="E25" t="s">
        <v>53</v>
      </c>
      <c r="F25" t="s">
        <v>92</v>
      </c>
      <c r="G25" t="s">
        <v>57</v>
      </c>
      <c r="J25" s="8">
        <f>332</f>
        <v>332</v>
      </c>
      <c r="K25" s="4" t="s">
        <v>44</v>
      </c>
      <c r="L25" s="1" t="s">
        <v>29</v>
      </c>
      <c r="M25" s="1">
        <v>2</v>
      </c>
      <c r="N25" s="1" t="s">
        <v>25</v>
      </c>
      <c r="O25" s="1">
        <v>222</v>
      </c>
      <c r="P25" s="1" t="s">
        <v>3</v>
      </c>
      <c r="Q25" s="1">
        <v>211</v>
      </c>
      <c r="R25" s="1" t="str">
        <f t="shared" si="8"/>
        <v>-</v>
      </c>
      <c r="S25" s="1" t="str">
        <f t="shared" si="8"/>
        <v>-</v>
      </c>
      <c r="T25" s="1" t="str">
        <f t="shared" si="8"/>
        <v>-</v>
      </c>
      <c r="U25" s="1" t="str">
        <f t="shared" si="8"/>
        <v>-</v>
      </c>
      <c r="V25" s="1" t="str">
        <f t="shared" ref="V25:AC29" si="10">"-"</f>
        <v>-</v>
      </c>
      <c r="W25" s="1" t="str">
        <f t="shared" si="10"/>
        <v>-</v>
      </c>
      <c r="X25" s="1" t="str">
        <f t="shared" si="10"/>
        <v>-</v>
      </c>
      <c r="Y25" s="1" t="str">
        <f t="shared" si="10"/>
        <v>-</v>
      </c>
      <c r="Z25" s="1" t="str">
        <f t="shared" si="10"/>
        <v>-</v>
      </c>
      <c r="AA25" s="1" t="str">
        <f t="shared" si="9"/>
        <v>-</v>
      </c>
      <c r="AB25" s="1" t="str">
        <f t="shared" si="9"/>
        <v>-</v>
      </c>
      <c r="AC25" s="1" t="str">
        <f t="shared" si="9"/>
        <v>-</v>
      </c>
    </row>
    <row r="26" spans="1:29" x14ac:dyDescent="0.25">
      <c r="A26" t="s">
        <v>43</v>
      </c>
      <c r="B26" t="s">
        <v>40</v>
      </c>
      <c r="C26" t="s">
        <v>53</v>
      </c>
      <c r="D26" t="s">
        <v>54</v>
      </c>
      <c r="E26" t="s">
        <v>92</v>
      </c>
      <c r="F26" t="s">
        <v>93</v>
      </c>
      <c r="G26" t="s">
        <v>59</v>
      </c>
      <c r="J26" s="8">
        <v>331</v>
      </c>
      <c r="K26" s="4" t="s">
        <v>45</v>
      </c>
      <c r="L26" s="1" t="s">
        <v>72</v>
      </c>
      <c r="M26" s="1">
        <v>1</v>
      </c>
      <c r="N26" s="1" t="s">
        <v>50</v>
      </c>
      <c r="O26" s="1">
        <v>221</v>
      </c>
      <c r="P26" s="1" t="str">
        <f t="shared" ref="P26:Q27" si="11">"-"</f>
        <v>-</v>
      </c>
      <c r="Q26" s="1" t="str">
        <f t="shared" si="11"/>
        <v>-</v>
      </c>
      <c r="R26" s="1" t="str">
        <f t="shared" si="8"/>
        <v>-</v>
      </c>
      <c r="S26" s="1" t="str">
        <f t="shared" si="8"/>
        <v>-</v>
      </c>
      <c r="T26" s="1" t="str">
        <f t="shared" si="8"/>
        <v>-</v>
      </c>
      <c r="U26" s="1" t="str">
        <f t="shared" si="8"/>
        <v>-</v>
      </c>
      <c r="V26" s="1" t="str">
        <f t="shared" si="10"/>
        <v>-</v>
      </c>
      <c r="W26" s="1" t="str">
        <f t="shared" si="10"/>
        <v>-</v>
      </c>
      <c r="X26" s="1" t="str">
        <f t="shared" si="10"/>
        <v>-</v>
      </c>
      <c r="Y26" s="1" t="str">
        <f t="shared" si="10"/>
        <v>-</v>
      </c>
      <c r="Z26" s="1" t="str">
        <f t="shared" si="10"/>
        <v>-</v>
      </c>
      <c r="AA26" s="1" t="str">
        <f t="shared" si="9"/>
        <v>-</v>
      </c>
      <c r="AB26" s="1" t="str">
        <f t="shared" si="9"/>
        <v>-</v>
      </c>
      <c r="AC26" s="1" t="str">
        <f t="shared" si="9"/>
        <v>-</v>
      </c>
    </row>
    <row r="27" spans="1:29" x14ac:dyDescent="0.25">
      <c r="A27" t="s">
        <v>54</v>
      </c>
      <c r="B27" t="s">
        <v>41</v>
      </c>
      <c r="C27" t="s">
        <v>92</v>
      </c>
      <c r="D27" t="s">
        <v>53</v>
      </c>
      <c r="E27" t="s">
        <v>93</v>
      </c>
      <c r="F27" t="s">
        <v>110</v>
      </c>
      <c r="G27" t="s">
        <v>109</v>
      </c>
      <c r="J27" s="8">
        <v>333</v>
      </c>
      <c r="K27" s="4" t="s">
        <v>26</v>
      </c>
      <c r="L27" s="1" t="s">
        <v>72</v>
      </c>
      <c r="M27" s="1">
        <v>1</v>
      </c>
      <c r="N27" s="1" t="s">
        <v>25</v>
      </c>
      <c r="O27" s="1">
        <v>222</v>
      </c>
      <c r="P27" s="1" t="str">
        <f t="shared" si="11"/>
        <v>-</v>
      </c>
      <c r="Q27" s="1" t="str">
        <f t="shared" si="11"/>
        <v>-</v>
      </c>
      <c r="R27" s="1" t="str">
        <f t="shared" si="8"/>
        <v>-</v>
      </c>
      <c r="S27" s="1" t="str">
        <f t="shared" si="8"/>
        <v>-</v>
      </c>
      <c r="T27" s="1" t="str">
        <f t="shared" si="8"/>
        <v>-</v>
      </c>
      <c r="U27" s="1" t="str">
        <f t="shared" si="8"/>
        <v>-</v>
      </c>
      <c r="V27" s="1" t="str">
        <f t="shared" si="10"/>
        <v>-</v>
      </c>
      <c r="W27" s="1" t="str">
        <f t="shared" si="10"/>
        <v>-</v>
      </c>
      <c r="X27" s="1" t="str">
        <f t="shared" si="10"/>
        <v>-</v>
      </c>
      <c r="Y27" s="1" t="str">
        <f t="shared" si="10"/>
        <v>-</v>
      </c>
      <c r="Z27" s="1" t="str">
        <f t="shared" si="10"/>
        <v>-</v>
      </c>
      <c r="AA27" s="1" t="str">
        <f t="shared" si="9"/>
        <v>-</v>
      </c>
      <c r="AB27" s="1" t="str">
        <f t="shared" si="9"/>
        <v>-</v>
      </c>
      <c r="AC27" s="1" t="str">
        <f t="shared" si="9"/>
        <v>-</v>
      </c>
    </row>
    <row r="28" spans="1:29" x14ac:dyDescent="0.25">
      <c r="A28" t="s">
        <v>53</v>
      </c>
      <c r="B28" t="s">
        <v>52</v>
      </c>
      <c r="C28" t="s">
        <v>93</v>
      </c>
      <c r="D28" t="s">
        <v>92</v>
      </c>
      <c r="E28" t="s">
        <v>110</v>
      </c>
      <c r="F28" t="s">
        <v>113</v>
      </c>
      <c r="G28" t="s">
        <v>40</v>
      </c>
      <c r="J28" s="8">
        <v>323</v>
      </c>
      <c r="K28" s="4" t="s">
        <v>48</v>
      </c>
      <c r="L28" s="1" t="s">
        <v>34</v>
      </c>
      <c r="M28" s="1">
        <v>2</v>
      </c>
      <c r="N28" s="1" t="s">
        <v>25</v>
      </c>
      <c r="O28" s="1">
        <v>222</v>
      </c>
      <c r="P28" s="1" t="s">
        <v>49</v>
      </c>
      <c r="Q28" s="1">
        <v>212</v>
      </c>
      <c r="R28" s="1" t="str">
        <f t="shared" si="8"/>
        <v>-</v>
      </c>
      <c r="S28" s="1" t="str">
        <f t="shared" si="8"/>
        <v>-</v>
      </c>
      <c r="T28" s="1" t="str">
        <f t="shared" si="8"/>
        <v>-</v>
      </c>
      <c r="U28" s="1" t="str">
        <f t="shared" si="8"/>
        <v>-</v>
      </c>
      <c r="V28" s="1" t="str">
        <f t="shared" si="10"/>
        <v>-</v>
      </c>
      <c r="W28" s="1" t="str">
        <f t="shared" si="10"/>
        <v>-</v>
      </c>
      <c r="X28" s="1" t="str">
        <f t="shared" si="10"/>
        <v>-</v>
      </c>
      <c r="Y28" s="1" t="str">
        <f t="shared" si="10"/>
        <v>-</v>
      </c>
      <c r="Z28" s="1" t="str">
        <f t="shared" si="10"/>
        <v>-</v>
      </c>
      <c r="AA28" s="1" t="str">
        <f t="shared" si="9"/>
        <v>-</v>
      </c>
      <c r="AB28" s="1" t="str">
        <f t="shared" si="9"/>
        <v>-</v>
      </c>
      <c r="AC28" s="1" t="str">
        <f t="shared" si="9"/>
        <v>-</v>
      </c>
    </row>
    <row r="29" spans="1:29" x14ac:dyDescent="0.25">
      <c r="J29" s="8">
        <v>312</v>
      </c>
      <c r="K29" s="4" t="s">
        <v>13</v>
      </c>
      <c r="L29" s="1" t="s">
        <v>29</v>
      </c>
      <c r="M29" s="1">
        <v>2</v>
      </c>
      <c r="N29" s="1" t="s">
        <v>49</v>
      </c>
      <c r="O29" s="1">
        <v>212</v>
      </c>
      <c r="P29" s="1" t="s">
        <v>3</v>
      </c>
      <c r="Q29" s="1">
        <v>211</v>
      </c>
      <c r="R29" s="1" t="str">
        <f t="shared" si="8"/>
        <v>-</v>
      </c>
      <c r="S29" s="1" t="str">
        <f t="shared" si="8"/>
        <v>-</v>
      </c>
      <c r="T29" s="1" t="str">
        <f t="shared" si="8"/>
        <v>-</v>
      </c>
      <c r="U29" s="1" t="str">
        <f t="shared" si="8"/>
        <v>-</v>
      </c>
      <c r="V29" s="1" t="str">
        <f t="shared" si="10"/>
        <v>-</v>
      </c>
      <c r="W29" s="1" t="str">
        <f t="shared" si="10"/>
        <v>-</v>
      </c>
      <c r="X29" s="1" t="str">
        <f t="shared" si="10"/>
        <v>-</v>
      </c>
      <c r="Y29" s="1" t="str">
        <f t="shared" si="10"/>
        <v>-</v>
      </c>
      <c r="Z29" s="1" t="str">
        <f t="shared" si="10"/>
        <v>-</v>
      </c>
      <c r="AA29" s="1" t="str">
        <f t="shared" si="9"/>
        <v>-</v>
      </c>
      <c r="AB29" s="1" t="str">
        <f t="shared" si="9"/>
        <v>-</v>
      </c>
      <c r="AC29" s="1" t="str">
        <f t="shared" si="9"/>
        <v>-</v>
      </c>
    </row>
  </sheetData>
  <sortState xmlns:xlrd2="http://schemas.microsoft.com/office/spreadsheetml/2017/richdata2" ref="A18:A21">
    <sortCondition ref="A1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Calculator</vt:lpstr>
      <vt:lpstr>Data</vt:lpstr>
      <vt:lpstr>Lists</vt:lpstr>
      <vt:lpstr>Cosmos</vt:lpstr>
      <vt:lpstr>Hyacinths</vt:lpstr>
      <vt:lpstr>Lilies</vt:lpstr>
      <vt:lpstr>Mums</vt:lpstr>
      <vt:lpstr>Pansies</vt:lpstr>
      <vt:lpstr>Tulips</vt:lpstr>
      <vt:lpstr>Windflowers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Hunter Rouillier</dc:creator>
  <cp:lastModifiedBy>Hunter Rouillier</cp:lastModifiedBy>
  <dcterms:created xsi:type="dcterms:W3CDTF">2020-04-15T20:55:12Z</dcterms:created>
  <dcterms:modified xsi:type="dcterms:W3CDTF">2020-04-24T18:32:25Z</dcterms:modified>
</cp:coreProperties>
</file>